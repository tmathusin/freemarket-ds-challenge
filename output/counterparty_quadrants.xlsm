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Lenovo IdeaCentre\Desktop\Job Application\Freemarket\Code Test\output\"/>
    </mc:Choice>
  </mc:AlternateContent>
  <xr:revisionPtr revIDLastSave="0" documentId="13_ncr:1_{9EE0C1CC-28B3-4B07-8A8A-E190931B74DA}" xr6:coauthVersionLast="47" xr6:coauthVersionMax="47" xr10:uidLastSave="{00000000-0000-0000-0000-000000000000}"/>
  <bookViews>
    <workbookView xWindow="38280" yWindow="-5160" windowWidth="16440" windowHeight="28320" firstSheet="2" activeTab="3" xr2:uid="{23660E6F-B645-4EFA-B423-BC26AE9ADAC5}"/>
  </bookViews>
  <sheets>
    <sheet name="remitter" sheetId="6" r:id="rId1"/>
    <sheet name="rem_pivot" sheetId="5" r:id="rId2"/>
    <sheet name="rem_plot" sheetId="3" r:id="rId3"/>
    <sheet name="beneficiary" sheetId="2" r:id="rId4"/>
    <sheet name="ben_pivot" sheetId="7" r:id="rId5"/>
    <sheet name="ben_plot" sheetId="4" r:id="rId6"/>
  </sheets>
  <definedNames>
    <definedName name="_xlnm._FilterDatabase" localSheetId="5" hidden="1">ben_plot!#REF!</definedName>
    <definedName name="_xlnm._FilterDatabase" localSheetId="0" hidden="1">remitter!$A$1:$F$1</definedName>
    <definedName name="_xleta.MIN" hidden="1" xlm="1">#NAME?</definedName>
  </definedNames>
  <calcPr calcId="191029"/>
  <pivotCaches>
    <pivotCache cacheId="6" r:id="rId7"/>
    <pivotCache cacheId="10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" i="2" l="1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2" i="2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2" i="6"/>
</calcChain>
</file>

<file path=xl/sharedStrings.xml><?xml version="1.0" encoding="utf-8"?>
<sst xmlns="http://schemas.openxmlformats.org/spreadsheetml/2006/main" count="404" uniqueCount="125">
  <si>
    <t>counterparty</t>
  </si>
  <si>
    <t>value_total</t>
  </si>
  <si>
    <t>volume_total</t>
  </si>
  <si>
    <t>quadrant</t>
  </si>
  <si>
    <t>Flutterwave Ltd</t>
  </si>
  <si>
    <t>High Value / High Volume</t>
  </si>
  <si>
    <t>Bitstamp Europe S A</t>
  </si>
  <si>
    <t>Kraken Europe Ltd</t>
  </si>
  <si>
    <t>Beneficiary 3</t>
  </si>
  <si>
    <t>Paystack Nigeria Ltd</t>
  </si>
  <si>
    <t>Coinbase Europe Ltd</t>
  </si>
  <si>
    <t>Interswitch Ltd</t>
  </si>
  <si>
    <t>Pax Os Eu</t>
  </si>
  <si>
    <t>Company 3</t>
  </si>
  <si>
    <t>Bit Stamp Lux</t>
  </si>
  <si>
    <t>Bitpanda Gmbh</t>
  </si>
  <si>
    <t>Paxos Europe Ltd</t>
  </si>
  <si>
    <t>Mpesa Safaricom</t>
  </si>
  <si>
    <t>Flutter Wave Ng</t>
  </si>
  <si>
    <t>Kraken Fin De</t>
  </si>
  <si>
    <t>Krkn Ireland</t>
  </si>
  <si>
    <t>High Value / Low Volume</t>
  </si>
  <si>
    <t>Dpogroup Ltd</t>
  </si>
  <si>
    <t>M Pesa Kenya Ltd</t>
  </si>
  <si>
    <t>Cbase Ireland</t>
  </si>
  <si>
    <t>Bstmp Exch</t>
  </si>
  <si>
    <t>Nsano Gh Ltd</t>
  </si>
  <si>
    <t>Nsano Accra</t>
  </si>
  <si>
    <t>Flwave Lagos</t>
  </si>
  <si>
    <t>Eversend Uganda Ltd</t>
  </si>
  <si>
    <t>N Sano Operational</t>
  </si>
  <si>
    <t>Interswitch C O Musa Ibrahim</t>
  </si>
  <si>
    <t>Afriex Ltd</t>
  </si>
  <si>
    <t>Bitstamp Jan Novak</t>
  </si>
  <si>
    <t>Paystak Hq</t>
  </si>
  <si>
    <t>Pxos Payments</t>
  </si>
  <si>
    <t>Company 15</t>
  </si>
  <si>
    <t>Dahabshiil Ltd</t>
  </si>
  <si>
    <t>Kraken Sofia M Ller</t>
  </si>
  <si>
    <t>Int Sw Lagos Branch</t>
  </si>
  <si>
    <t>Dahab Shiil Intl</t>
  </si>
  <si>
    <t>Inter Switch Nig</t>
  </si>
  <si>
    <t>Sendwave Inc</t>
  </si>
  <si>
    <t>M Pesa Nairobi</t>
  </si>
  <si>
    <t>Remitter 18</t>
  </si>
  <si>
    <t>Bit Panda At</t>
  </si>
  <si>
    <t>Ever Send App</t>
  </si>
  <si>
    <t>Afr Ex Nigeria</t>
  </si>
  <si>
    <t>Flutterwave Payments Nig</t>
  </si>
  <si>
    <t>Send Wave Africa</t>
  </si>
  <si>
    <t>Beneficiary 18</t>
  </si>
  <si>
    <t>Company 29</t>
  </si>
  <si>
    <t>Dahab Shiil Somalia</t>
  </si>
  <si>
    <t>Dpo Kenya Ltd</t>
  </si>
  <si>
    <t>Low Value / Low Volume</t>
  </si>
  <si>
    <t>Sndwv Mobile</t>
  </si>
  <si>
    <t>Beneficiary 27</t>
  </si>
  <si>
    <t>Low Value / High Volume</t>
  </si>
  <si>
    <t>Bitstamp Ltd Uk</t>
  </si>
  <si>
    <t>Kraken Exch Berlin</t>
  </si>
  <si>
    <t>Remitter 56</t>
  </si>
  <si>
    <t>Nsano Kwame Ofori</t>
  </si>
  <si>
    <t>Nsano Tech Ltd</t>
  </si>
  <si>
    <t>Btpnd Exchange</t>
  </si>
  <si>
    <t>Evrsnd Kampala</t>
  </si>
  <si>
    <t>Bitpanda Lukas Steiner</t>
  </si>
  <si>
    <t>Pstk Technologies Lagos</t>
  </si>
  <si>
    <t>Coinbase Pierre Dupont</t>
  </si>
  <si>
    <t>Bitpanda Vienna</t>
  </si>
  <si>
    <t>Coinbase Ireland Ltd</t>
  </si>
  <si>
    <t>Dhb Shiil Uk</t>
  </si>
  <si>
    <t>Dahabshiil Amina Ali</t>
  </si>
  <si>
    <t>Paxos Maria Rossi</t>
  </si>
  <si>
    <t>Mpesa C O Joseph Mwangi</t>
  </si>
  <si>
    <t>D P O Group Sa</t>
  </si>
  <si>
    <t>Remitter 143</t>
  </si>
  <si>
    <t>Flutterwave C O Adeola John</t>
  </si>
  <si>
    <t>Paxos Uk Ltd</t>
  </si>
  <si>
    <t>Afrx Pay</t>
  </si>
  <si>
    <t>Interswitch Payments Plc</t>
  </si>
  <si>
    <t>Remitter 77</t>
  </si>
  <si>
    <t>Company 8</t>
  </si>
  <si>
    <t>Remitter 33</t>
  </si>
  <si>
    <t>Paystack Jide Abiola</t>
  </si>
  <si>
    <t>Remitter 127</t>
  </si>
  <si>
    <t>Dpo Payments Nairobi</t>
  </si>
  <si>
    <t>Remitter 29</t>
  </si>
  <si>
    <t>Dpogrp John Karanja</t>
  </si>
  <si>
    <t>Eversend Grace Atim</t>
  </si>
  <si>
    <t>Afriex Bamidele Ojo</t>
  </si>
  <si>
    <t>Remitter 44</t>
  </si>
  <si>
    <t>Paystack Ng Ltd</t>
  </si>
  <si>
    <t>Afriex Global Remit</t>
  </si>
  <si>
    <t>Remitter 119</t>
  </si>
  <si>
    <t>Eversend Fintech Ltd</t>
  </si>
  <si>
    <t>Company 5</t>
  </si>
  <si>
    <t>Mps Kenya Saf</t>
  </si>
  <si>
    <t>Sendwave Peter Okoye</t>
  </si>
  <si>
    <t>Sendwave App Ltd</t>
  </si>
  <si>
    <t>Remitter 155</t>
  </si>
  <si>
    <t>Remitter 166</t>
  </si>
  <si>
    <t>Remitter 100</t>
  </si>
  <si>
    <t>group</t>
  </si>
  <si>
    <t>Flutterwave</t>
  </si>
  <si>
    <t>Eversend</t>
  </si>
  <si>
    <t>Interswitch</t>
  </si>
  <si>
    <t>Nsano</t>
  </si>
  <si>
    <t>Sendwave</t>
  </si>
  <si>
    <t>Afriex</t>
  </si>
  <si>
    <t>DPO</t>
  </si>
  <si>
    <t>Dahab</t>
  </si>
  <si>
    <t>Paystack</t>
  </si>
  <si>
    <t>M Pesa</t>
  </si>
  <si>
    <t>avg_tx_value</t>
  </si>
  <si>
    <t>Row Labels</t>
  </si>
  <si>
    <t>Grand Total</t>
  </si>
  <si>
    <t>Sum of value_total</t>
  </si>
  <si>
    <t>Sum of volume_total</t>
  </si>
  <si>
    <t>Sum of avg_tx_value</t>
  </si>
  <si>
    <t>Group</t>
  </si>
  <si>
    <t>Bitstamp</t>
  </si>
  <si>
    <t>Bitpanda</t>
  </si>
  <si>
    <t>Paxos</t>
  </si>
  <si>
    <t>Coinbase</t>
  </si>
  <si>
    <t>Kraken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</si>
</sst>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-* #,##0_-;\-* #,##0_-;_-* &quot;-&quot;??_-;_-@_-"/>
  </numFmts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164" fontId="0" fillId="0" borderId="0" xfId="1" applyNumberFormat="1" applyFont="1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omma" xfId="1" builtinId="3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Remitters by Value</a:t>
            </a:r>
            <a:r>
              <a:rPr lang="en-GB" baseline="0"/>
              <a:t> &amp; Volume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ubbleChart>
        <c:varyColors val="0"/>
        <c:ser>
          <c:idx val="0"/>
          <c:order val="0"/>
          <c:spPr>
            <a:solidFill>
              <a:schemeClr val="accent1"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6D42C1D9-EDDB-4E97-BD79-007B22D5E925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339-4C8C-9727-9674B7F8BAC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77DDC96-51CA-435C-ADED-497319BEA26D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339-4C8C-9727-9674B7F8BAC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9CCF4DD-065A-42CC-A6BC-E4A150E68604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339-4C8C-9727-9674B7F8BAC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47B1BC0-C01E-4997-9FD4-8A19F1C079E0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339-4C8C-9727-9674B7F8BAC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4F20A73-61F6-488E-9D9A-B6B388818AC4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339-4C8C-9727-9674B7F8BAC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B1C3ED8-2391-4E2E-A812-6F2FE0B9826C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339-4C8C-9727-9674B7F8BAC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8F19FB3-1B0A-4D98-8F14-9DA56F66CBFC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339-4C8C-9727-9674B7F8BAC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D123A8C-18C3-4854-A7B7-150A884CD14E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339-4C8C-9727-9674B7F8BAC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AAF0A69-0611-4A7D-9B98-DD1D97081CB3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339-4C8C-9727-9674B7F8BAC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rem_plot!$C$2:$C$10</c:f>
              <c:numCache>
                <c:formatCode>_-* #,##0_-;\-* #,##0_-;_-* "-"??_-;_-@_-</c:formatCode>
                <c:ptCount val="9"/>
                <c:pt idx="0">
                  <c:v>100</c:v>
                </c:pt>
                <c:pt idx="1">
                  <c:v>65</c:v>
                </c:pt>
                <c:pt idx="2">
                  <c:v>64</c:v>
                </c:pt>
                <c:pt idx="3">
                  <c:v>29</c:v>
                </c:pt>
                <c:pt idx="4">
                  <c:v>473</c:v>
                </c:pt>
                <c:pt idx="5">
                  <c:v>133</c:v>
                </c:pt>
                <c:pt idx="6">
                  <c:v>261</c:v>
                </c:pt>
                <c:pt idx="7">
                  <c:v>105</c:v>
                </c:pt>
                <c:pt idx="8">
                  <c:v>234</c:v>
                </c:pt>
              </c:numCache>
            </c:numRef>
          </c:xVal>
          <c:yVal>
            <c:numRef>
              <c:f>rem_plot!$B$2:$B$10</c:f>
              <c:numCache>
                <c:formatCode>_-* #,##0_-;\-* #,##0_-;_-* "-"??_-;_-@_-</c:formatCode>
                <c:ptCount val="9"/>
                <c:pt idx="0">
                  <c:v>21101966.563547343</c:v>
                </c:pt>
                <c:pt idx="1">
                  <c:v>27197677.809620257</c:v>
                </c:pt>
                <c:pt idx="2">
                  <c:v>58849168.38013348</c:v>
                </c:pt>
                <c:pt idx="3">
                  <c:v>38787220.971739687</c:v>
                </c:pt>
                <c:pt idx="4">
                  <c:v>679775645.82575846</c:v>
                </c:pt>
                <c:pt idx="5">
                  <c:v>153322191.65285802</c:v>
                </c:pt>
                <c:pt idx="6">
                  <c:v>111446482.15605359</c:v>
                </c:pt>
                <c:pt idx="7">
                  <c:v>102318642.60578978</c:v>
                </c:pt>
                <c:pt idx="8">
                  <c:v>223109200.36456022</c:v>
                </c:pt>
              </c:numCache>
            </c:numRef>
          </c:yVal>
          <c:bubbleSize>
            <c:numRef>
              <c:f>rem_plot!$D$2:$D$10</c:f>
              <c:numCache>
                <c:formatCode>_-* #,##0_-;\-* #,##0_-;_-* "-"??_-;_-@_-</c:formatCode>
                <c:ptCount val="9"/>
                <c:pt idx="0">
                  <c:v>1670904.2231506049</c:v>
                </c:pt>
                <c:pt idx="1">
                  <c:v>6620552.105201276</c:v>
                </c:pt>
                <c:pt idx="2">
                  <c:v>2967530.2839371357</c:v>
                </c:pt>
                <c:pt idx="3">
                  <c:v>4601132.2540858947</c:v>
                </c:pt>
                <c:pt idx="4">
                  <c:v>5839941.6948496914</c:v>
                </c:pt>
                <c:pt idx="5">
                  <c:v>5556553.3747402476</c:v>
                </c:pt>
                <c:pt idx="6">
                  <c:v>2898178.7739401818</c:v>
                </c:pt>
                <c:pt idx="7">
                  <c:v>5741255.7277846243</c:v>
                </c:pt>
                <c:pt idx="8">
                  <c:v>2447979.8720425386</c:v>
                </c:pt>
              </c:numCache>
            </c:numRef>
          </c:bubbleSize>
          <c:bubble3D val="0"/>
          <c:extLst>
            <c:ext xmlns:c15="http://schemas.microsoft.com/office/drawing/2012/chart" uri="{02D57815-91ED-43cb-92C2-25804820EDAC}">
              <c15:datalabelsRange>
                <c15:f>rem_plot!$A$2:$A$10</c15:f>
                <c15:dlblRangeCache>
                  <c:ptCount val="9"/>
                  <c:pt idx="0">
                    <c:v>Afriex</c:v>
                  </c:pt>
                  <c:pt idx="1">
                    <c:v>Dahab</c:v>
                  </c:pt>
                  <c:pt idx="2">
                    <c:v>DPO</c:v>
                  </c:pt>
                  <c:pt idx="3">
                    <c:v>Eversend</c:v>
                  </c:pt>
                  <c:pt idx="4">
                    <c:v>Flutterwave</c:v>
                  </c:pt>
                  <c:pt idx="5">
                    <c:v>Interswitch</c:v>
                  </c:pt>
                  <c:pt idx="6">
                    <c:v>M Pesa</c:v>
                  </c:pt>
                  <c:pt idx="7">
                    <c:v>Nsano</c:v>
                  </c:pt>
                  <c:pt idx="8">
                    <c:v>Paystack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D339-4C8C-9727-9674B7F8B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20"/>
        <c:showNegBubbles val="0"/>
        <c:axId val="1267105200"/>
        <c:axId val="1267456112"/>
      </c:bubbleChart>
      <c:valAx>
        <c:axId val="1267105200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Total Volume</a:t>
                </a:r>
              </a:p>
              <a:p>
                <a:pPr>
                  <a:defRPr/>
                </a:pP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456112"/>
        <c:crosses val="autoZero"/>
        <c:crossBetween val="midCat"/>
      </c:valAx>
      <c:valAx>
        <c:axId val="126745611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Total Value (£)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105200"/>
        <c:crosses val="autoZero"/>
        <c:crossBetween val="midCat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Beneficiaries by Value &amp; Volume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ubbleChart>
        <c:varyColors val="0"/>
        <c:ser>
          <c:idx val="0"/>
          <c:order val="0"/>
          <c:spPr>
            <a:solidFill>
              <a:schemeClr val="accent1"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33D52C60-6015-4C87-A1C7-9E03CB487BC3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F60-441C-AB69-A464E1CB588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44F0761-0F38-4FFE-B160-D76F6A70CE07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F60-441C-AB69-A464E1CB588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EA29E3D-25D4-4B06-9194-9B7856009E9E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F60-441C-AB69-A464E1CB588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0863487-BB29-4854-9834-584EC12024EA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F60-441C-AB69-A464E1CB588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4EA2B7-1781-481D-BB08-E3D9780AD82D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F60-441C-AB69-A464E1CB588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ben_plot!$C$2:$C$6</c:f>
              <c:numCache>
                <c:formatCode>General</c:formatCode>
                <c:ptCount val="5"/>
                <c:pt idx="0">
                  <c:v>311</c:v>
                </c:pt>
                <c:pt idx="1">
                  <c:v>533</c:v>
                </c:pt>
                <c:pt idx="2">
                  <c:v>617</c:v>
                </c:pt>
                <c:pt idx="3">
                  <c:v>436</c:v>
                </c:pt>
                <c:pt idx="4">
                  <c:v>303</c:v>
                </c:pt>
              </c:numCache>
            </c:numRef>
          </c:xVal>
          <c:yVal>
            <c:numRef>
              <c:f>ben_plot!$B$2:$B$6</c:f>
              <c:numCache>
                <c:formatCode>General</c:formatCode>
                <c:ptCount val="5"/>
                <c:pt idx="0">
                  <c:v>86184470.375889391</c:v>
                </c:pt>
                <c:pt idx="1">
                  <c:v>690691407.5797689</c:v>
                </c:pt>
                <c:pt idx="2">
                  <c:v>211988459.27515599</c:v>
                </c:pt>
                <c:pt idx="3">
                  <c:v>438501923.41451502</c:v>
                </c:pt>
                <c:pt idx="4">
                  <c:v>169458455.26117143</c:v>
                </c:pt>
              </c:numCache>
            </c:numRef>
          </c:yVal>
          <c:bubbleSize>
            <c:numRef>
              <c:f>ben_plot!$D$2:$D$6</c:f>
              <c:numCache>
                <c:formatCode>General</c:formatCode>
                <c:ptCount val="5"/>
                <c:pt idx="0">
                  <c:v>2007467.2878581886</c:v>
                </c:pt>
                <c:pt idx="1">
                  <c:v>3901669.8832359915</c:v>
                </c:pt>
                <c:pt idx="2">
                  <c:v>839608.75949323934</c:v>
                </c:pt>
                <c:pt idx="3">
                  <c:v>19398088.951403532</c:v>
                </c:pt>
                <c:pt idx="4">
                  <c:v>2704547.3042437714</c:v>
                </c:pt>
              </c:numCache>
            </c:numRef>
          </c:bubbleSize>
          <c:bubble3D val="0"/>
          <c:extLst>
            <c:ext xmlns:c15="http://schemas.microsoft.com/office/drawing/2012/chart" uri="{02D57815-91ED-43cb-92C2-25804820EDAC}">
              <c15:datalabelsRange>
                <c15:f>ben_plot!$A$2:$A$6</c15:f>
                <c15:dlblRangeCache>
                  <c:ptCount val="5"/>
                  <c:pt idx="0">
                    <c:v>Bitpanda</c:v>
                  </c:pt>
                  <c:pt idx="1">
                    <c:v>Bitstamp</c:v>
                  </c:pt>
                  <c:pt idx="2">
                    <c:v>Coinbase</c:v>
                  </c:pt>
                  <c:pt idx="3">
                    <c:v>Kraken</c:v>
                  </c:pt>
                  <c:pt idx="4">
                    <c:v>Paxos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6F60-441C-AB69-A464E1CB58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bubbleScale val="30"/>
        <c:showNegBubbles val="0"/>
        <c:axId val="1050307760"/>
        <c:axId val="1050306320"/>
      </c:bubbleChart>
      <c:valAx>
        <c:axId val="1050307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Total Volume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306320"/>
        <c:crosses val="autoZero"/>
        <c:crossBetween val="midCat"/>
      </c:valAx>
      <c:valAx>
        <c:axId val="10503063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Total Value (£)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307760"/>
        <c:crosses val="autoZero"/>
        <c:crossBetween val="midCat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61911</xdr:colOff>
      <xdr:row>0</xdr:row>
      <xdr:rowOff>4761</xdr:rowOff>
    </xdr:from>
    <xdr:to>
      <xdr:col>20</xdr:col>
      <xdr:colOff>571500</xdr:colOff>
      <xdr:row>22</xdr:row>
      <xdr:rowOff>161925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E2E9DBD-8AA5-8C79-E96E-5A8522E5C2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304800</xdr:colOff>
      <xdr:row>1</xdr:row>
      <xdr:rowOff>71436</xdr:rowOff>
    </xdr:from>
    <xdr:to>
      <xdr:col>20</xdr:col>
      <xdr:colOff>114300</xdr:colOff>
      <xdr:row>30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32EF9FC-7448-7FCF-3B7B-AFF5F32F86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armizi Mathusin" refreshedDate="45928.603606944445" createdVersion="8" refreshedVersion="8" minRefreshableVersion="3" recordCount="84" xr:uid="{08718B3D-CC43-4070-86AD-BFCC05466851}">
  <cacheSource type="worksheet">
    <worksheetSource ref="A1:F1048576" sheet="remitter"/>
  </cacheSource>
  <cacheFields count="6">
    <cacheField name="counterparty" numFmtId="0">
      <sharedItems containsBlank="1"/>
    </cacheField>
    <cacheField name="group" numFmtId="0">
      <sharedItems containsBlank="1" count="26">
        <s v="Flutterwave"/>
        <s v="Afriex"/>
        <s v="DPO"/>
        <s v="Dahab"/>
        <s v="Eversend"/>
        <s v="Interswitch"/>
        <s v="M Pesa"/>
        <s v="Nsano"/>
        <s v="Paystack"/>
        <s v="Sendwave"/>
        <s v="Remitter 100"/>
        <s v="Remitter 119"/>
        <s v="Remitter 127"/>
        <s v="Remitter 143"/>
        <s v="Remitter 155"/>
        <s v="Remitter 166"/>
        <s v="Remitter 18"/>
        <s v="Remitter 29"/>
        <s v="Remitter 33"/>
        <s v="Remitter 44"/>
        <s v="Remitter 56"/>
        <s v="Remitter 77"/>
        <s v="Company 15"/>
        <s v="Company 29"/>
        <s v="Company 8"/>
        <m/>
      </sharedItems>
    </cacheField>
    <cacheField name="value_total" numFmtId="164">
      <sharedItems containsString="0" containsBlank="1" containsNumber="1" minValue="20632.218750000698" maxValue="584439605.55900002"/>
    </cacheField>
    <cacheField name="volume_total" numFmtId="0">
      <sharedItems containsString="0" containsBlank="1" containsNumber="1" containsInteger="1" minValue="1" maxValue="276"/>
    </cacheField>
    <cacheField name="avg_tx_value" numFmtId="0">
      <sharedItems containsString="0" containsBlank="1" containsNumber="1" minValue="2297.2641699999999" maxValue="5011696.9679999901"/>
    </cacheField>
    <cacheField name="quadrant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armizi Mathusin" refreshedDate="45928.6251962963" createdVersion="8" refreshedVersion="8" minRefreshableVersion="3" recordCount="29" xr:uid="{E1DDAB63-9A5B-45C8-A04B-8E3002D7C9DF}">
  <cacheSource type="worksheet">
    <worksheetSource ref="A1:E30" sheet="beneficiary"/>
  </cacheSource>
  <cacheFields count="5">
    <cacheField name="counterparty" numFmtId="0">
      <sharedItems/>
    </cacheField>
    <cacheField name="group" numFmtId="0">
      <sharedItems count="10">
        <s v="Bitstamp"/>
        <s v="Bitpanda"/>
        <s v="Coinbase"/>
        <s v="Kraken"/>
        <s v="Paxos"/>
        <s v="Beneficiary 18"/>
        <s v="Beneficiary 27"/>
        <s v="Beneficiary 3"/>
        <s v="Company 3"/>
        <s v="Company 5"/>
      </sharedItems>
    </cacheField>
    <cacheField name="value_total" numFmtId="164">
      <sharedItems containsSemiMixedTypes="0" containsString="0" containsNumber="1" minValue="550522.83283999597" maxValue="559556900.06935203"/>
    </cacheField>
    <cacheField name="volume_total" numFmtId="0">
      <sharedItems containsSemiMixedTypes="0" containsString="0" containsNumber="1" containsInteger="1" minValue="3" maxValue="1504"/>
    </cacheField>
    <cacheField name="avg_tx_value" numFmtId="164">
      <sharedItems containsSemiMixedTypes="0" containsString="0" containsNumber="1" minValue="3519.0114801917962" maxValue="17244346.864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4">
  <r>
    <s v="Flutter Wave Ng"/>
    <x v="0"/>
    <n v="52608934.133000001"/>
    <n v="50"/>
    <n v="1052178.6826599999"/>
    <s v="High Value / High Volume"/>
  </r>
  <r>
    <s v="Flutterwave C O Adeola John"/>
    <x v="0"/>
    <n v="1802726.5457585"/>
    <n v="1"/>
    <n v="1802726.5457585"/>
    <s v="Low Value / Low Volume"/>
  </r>
  <r>
    <s v="Flutterwave Ltd"/>
    <x v="0"/>
    <n v="584439605.55900002"/>
    <n v="276"/>
    <n v="2117534.8027500003"/>
    <s v="High Value / High Volume"/>
  </r>
  <r>
    <s v="Flutterwave Payments Nig"/>
    <x v="0"/>
    <n v="6217437.1519999998"/>
    <n v="103"/>
    <n v="60363.467495145625"/>
    <s v="High Value / High Volume"/>
  </r>
  <r>
    <s v="Flwave Lagos"/>
    <x v="0"/>
    <n v="34706942.435999997"/>
    <n v="43"/>
    <n v="807138.19618604647"/>
    <s v="High Value / High Volume"/>
  </r>
  <r>
    <s v="Afr Ex Nigeria"/>
    <x v="1"/>
    <n v="6811868.5055799503"/>
    <n v="17"/>
    <n v="400698.14738705591"/>
    <s v="High Value / Low Volume"/>
  </r>
  <r>
    <s v="Afriex Bamidele Ojo"/>
    <x v="1"/>
    <n v="798650.41512031597"/>
    <n v="2"/>
    <n v="399325.20756015799"/>
    <s v="Low Value / Low Volume"/>
  </r>
  <r>
    <s v="Afriex Global Remit"/>
    <x v="1"/>
    <n v="714300"/>
    <n v="39"/>
    <n v="18315.384615384617"/>
    <s v="Low Value / High Volume"/>
  </r>
  <r>
    <s v="Afriex Ltd"/>
    <x v="1"/>
    <n v="11094685.8976171"/>
    <n v="14"/>
    <n v="792477.56411550718"/>
    <s v="High Value / Low Volume"/>
  </r>
  <r>
    <s v="Afrx Pay"/>
    <x v="1"/>
    <n v="1682461.74522998"/>
    <n v="28"/>
    <n v="60087.919472499285"/>
    <s v="Low Value / Low Volume"/>
  </r>
  <r>
    <s v="D P O Group Sa"/>
    <x v="2"/>
    <n v="1882729.344"/>
    <n v="3"/>
    <n v="627576.44799999997"/>
    <s v="Low Value / Low Volume"/>
  </r>
  <r>
    <s v="Dpo Kenya Ltd"/>
    <x v="2"/>
    <n v="4620550.8371473802"/>
    <n v="22"/>
    <n v="210025.03805215366"/>
    <s v="Low Value / Low Volume"/>
  </r>
  <r>
    <s v="Dpo Payments Nairobi"/>
    <x v="2"/>
    <n v="969500"/>
    <n v="3"/>
    <n v="323166.66666666669"/>
    <s v="Low Value / Low Volume"/>
  </r>
  <r>
    <s v="Dpogroup Ltd"/>
    <x v="2"/>
    <n v="50456388.198986098"/>
    <n v="32"/>
    <n v="1576762.1312183156"/>
    <s v="High Value / Low Volume"/>
  </r>
  <r>
    <s v="Dpogrp John Karanja"/>
    <x v="2"/>
    <n v="920000"/>
    <n v="4"/>
    <n v="230000"/>
    <s v="Low Value / Low Volume"/>
  </r>
  <r>
    <s v="Dahab Shiil Intl"/>
    <x v="3"/>
    <n v="8379290.8219999997"/>
    <n v="9"/>
    <n v="931032.31355555553"/>
    <s v="High Value / Low Volume"/>
  </r>
  <r>
    <s v="Dahab Shiil Somalia"/>
    <x v="3"/>
    <n v="5011696.9679999901"/>
    <n v="1"/>
    <n v="5011696.9679999901"/>
    <s v="High Value / Low Volume"/>
  </r>
  <r>
    <s v="Dahabshiil Amina Ali"/>
    <x v="3"/>
    <n v="2156618.3629004201"/>
    <n v="13"/>
    <n v="165893.72022310924"/>
    <s v="Low Value / Low Volume"/>
  </r>
  <r>
    <s v="Dahabshiil Ltd"/>
    <x v="3"/>
    <n v="9329219.8545600697"/>
    <n v="31"/>
    <n v="300942.57595355064"/>
    <s v="High Value / Low Volume"/>
  </r>
  <r>
    <s v="Dhb Shiil Uk"/>
    <x v="3"/>
    <n v="2320851.8021597802"/>
    <n v="11"/>
    <n v="210986.52746907092"/>
    <s v="Low Value / Low Volume"/>
  </r>
  <r>
    <s v="Ever Send App"/>
    <x v="4"/>
    <n v="6957274.4450000003"/>
    <n v="6"/>
    <n v="1159545.7408333335"/>
    <s v="High Value / Low Volume"/>
  </r>
  <r>
    <s v="Eversend Fintech Ltd"/>
    <x v="4"/>
    <n v="580342.622599778"/>
    <n v="2"/>
    <n v="290171.311299889"/>
    <s v="Low Value / Low Volume"/>
  </r>
  <r>
    <s v="Eversend Grace Atim"/>
    <x v="4"/>
    <n v="853961.61974999995"/>
    <n v="2"/>
    <n v="426980.80987499998"/>
    <s v="Low Value / Low Volume"/>
  </r>
  <r>
    <s v="Eversend Uganda Ltd"/>
    <x v="4"/>
    <n v="27179043.695630901"/>
    <n v="12"/>
    <n v="2264920.3079692419"/>
    <s v="High Value / Low Volume"/>
  </r>
  <r>
    <s v="Evrsnd Kampala"/>
    <x v="4"/>
    <n v="3216598.5887590102"/>
    <n v="7"/>
    <n v="459514.08410843002"/>
    <s v="Low Value / Low Volume"/>
  </r>
  <r>
    <s v="Int Sw Lagos Branch"/>
    <x v="5"/>
    <n v="8459000"/>
    <n v="13"/>
    <n v="650692.30769230775"/>
    <s v="High Value / Low Volume"/>
  </r>
  <r>
    <s v="Inter Switch Nig"/>
    <x v="5"/>
    <n v="8164727.5923803505"/>
    <n v="51"/>
    <n v="160092.69788981081"/>
    <s v="High Value / High Volume"/>
  </r>
  <r>
    <s v="Interswitch C O Musa Ibrahim"/>
    <x v="5"/>
    <n v="11770216.7429999"/>
    <n v="5"/>
    <n v="2354043.3485999801"/>
    <s v="High Value / Low Volume"/>
  </r>
  <r>
    <s v="Interswitch Ltd"/>
    <x v="5"/>
    <n v="123426855.011848"/>
    <n v="56"/>
    <n v="2204050.9823544286"/>
    <s v="High Value / High Volume"/>
  </r>
  <r>
    <s v="Interswitch Payments Plc"/>
    <x v="5"/>
    <n v="1501392.30562977"/>
    <n v="8"/>
    <n v="187674.03820372125"/>
    <s v="Low Value / Low Volume"/>
  </r>
  <r>
    <s v="M Pesa Kenya Ltd"/>
    <x v="6"/>
    <n v="43450472.133720003"/>
    <n v="199"/>
    <n v="218344.08107396986"/>
    <s v="High Value / High Volume"/>
  </r>
  <r>
    <s v="M Pesa Nairobi"/>
    <x v="6"/>
    <n v="7689897.3169999998"/>
    <n v="19"/>
    <n v="404731.43773684208"/>
    <s v="High Value / Low Volume"/>
  </r>
  <r>
    <s v="Mpesa C O Joseph Mwangi"/>
    <x v="6"/>
    <n v="2022601.33767908"/>
    <n v="4"/>
    <n v="505650.33441976999"/>
    <s v="Low Value / Low Volume"/>
  </r>
  <r>
    <s v="Mpesa Safaricom"/>
    <x v="6"/>
    <n v="57791075.569664396"/>
    <n v="36"/>
    <n v="1605307.6547128998"/>
    <s v="High Value / High Volume"/>
  </r>
  <r>
    <s v="Mps Kenya Saf"/>
    <x v="6"/>
    <n v="492435.79799009999"/>
    <n v="3"/>
    <n v="164145.26599670001"/>
    <s v="Low Value / Low Volume"/>
  </r>
  <r>
    <s v="N Sano Operational"/>
    <x v="7"/>
    <n v="16437700"/>
    <n v="42"/>
    <n v="391373.80952380953"/>
    <s v="High Value / High Volume"/>
  </r>
  <r>
    <s v="Nsano Accra"/>
    <x v="7"/>
    <n v="38418229.230999999"/>
    <n v="13"/>
    <n v="2955248.4023846155"/>
    <s v="High Value / Low Volume"/>
  </r>
  <r>
    <s v="Nsano Gh Ltd"/>
    <x v="7"/>
    <n v="40182839.542000003"/>
    <n v="22"/>
    <n v="1826492.7064545455"/>
    <s v="High Value / Low Volume"/>
  </r>
  <r>
    <s v="Nsano Kwame Ofori"/>
    <x v="7"/>
    <n v="3683325.9210000001"/>
    <n v="10"/>
    <n v="368332.59210000001"/>
    <s v="Low Value / Low Volume"/>
  </r>
  <r>
    <s v="Nsano Tech Ltd"/>
    <x v="7"/>
    <n v="3596547.9117897698"/>
    <n v="18"/>
    <n v="199808.21732165388"/>
    <s v="Low Value / Low Volume"/>
  </r>
  <r>
    <s v="Paystack Jide Abiola"/>
    <x v="8"/>
    <n v="1173339.98422023"/>
    <n v="6"/>
    <n v="195556.66403670501"/>
    <s v="Low Value / Low Volume"/>
  </r>
  <r>
    <s v="Paystack Ng Ltd"/>
    <x v="8"/>
    <n v="792613.36033997801"/>
    <n v="25"/>
    <n v="31704.534413599122"/>
    <s v="Low Value / Low Volume"/>
  </r>
  <r>
    <s v="Paystack Nigeria Ltd"/>
    <x v="8"/>
    <n v="207753930.24700001"/>
    <n v="123"/>
    <n v="1689056.3434715448"/>
    <s v="High Value / High Volume"/>
  </r>
  <r>
    <s v="Paystak Hq"/>
    <x v="8"/>
    <n v="10662115.673"/>
    <n v="22"/>
    <n v="484641.62150000001"/>
    <s v="High Value / Low Volume"/>
  </r>
  <r>
    <s v="Pstk Technologies Lagos"/>
    <x v="8"/>
    <n v="2727201.1"/>
    <n v="58"/>
    <n v="47020.708620689657"/>
    <s v="Low Value / High Volume"/>
  </r>
  <r>
    <s v="Send Wave Africa"/>
    <x v="9"/>
    <n v="5640000"/>
    <n v="18"/>
    <n v="313333.33333333331"/>
    <s v="High Value / Low Volume"/>
  </r>
  <r>
    <s v="Sendwave App Ltd"/>
    <x v="9"/>
    <n v="269402.74612000299"/>
    <n v="10"/>
    <n v="26940.274612000299"/>
    <s v="Low Value / Low Volume"/>
  </r>
  <r>
    <s v="Sendwave Inc"/>
    <x v="9"/>
    <n v="8039587.2387199998"/>
    <n v="36"/>
    <n v="223321.86774222221"/>
    <s v="High Value / High Volume"/>
  </r>
  <r>
    <s v="Sendwave Peter Okoye"/>
    <x v="9"/>
    <n v="418000"/>
    <n v="12"/>
    <n v="34833.333333333336"/>
    <s v="Low Value / Low Volume"/>
  </r>
  <r>
    <s v="Sndwv Mobile"/>
    <x v="9"/>
    <n v="4439060.3394151097"/>
    <n v="6"/>
    <n v="739843.38990251825"/>
    <s v="Low Value / Low Volume"/>
  </r>
  <r>
    <s v="Remitter 100"/>
    <x v="10"/>
    <n v="20632.218750000698"/>
    <n v="1"/>
    <n v="20632.218750000698"/>
    <s v="Low Value / Low Volume"/>
  </r>
  <r>
    <s v="Remitter 119"/>
    <x v="11"/>
    <n v="699728.90914999903"/>
    <n v="31"/>
    <n v="22571.90029516126"/>
    <s v="Low Value / Low Volume"/>
  </r>
  <r>
    <s v="Remitter 127"/>
    <x v="12"/>
    <n v="1025587.2849599899"/>
    <n v="77"/>
    <n v="13319.315389090778"/>
    <s v="Low Value / High Volume"/>
  </r>
  <r>
    <s v="Remitter 143"/>
    <x v="13"/>
    <n v="1873156.5427900101"/>
    <n v="57"/>
    <n v="32862.395487544039"/>
    <s v="Low Value / High Volume"/>
  </r>
  <r>
    <s v="Remitter 155"/>
    <x v="14"/>
    <n v="29106.495399998999"/>
    <n v="4"/>
    <n v="7276.6238499997498"/>
    <s v="Low Value / Low Volume"/>
  </r>
  <r>
    <s v="Remitter 166"/>
    <x v="15"/>
    <n v="22972.6417"/>
    <n v="10"/>
    <n v="2297.2641699999999"/>
    <s v="Low Value / Low Volume"/>
  </r>
  <r>
    <s v="Remitter 18"/>
    <x v="16"/>
    <n v="7631537.9141600803"/>
    <n v="187"/>
    <n v="40810.363177326632"/>
    <s v="High Value / High Volume"/>
  </r>
  <r>
    <s v="Remitter 29"/>
    <x v="17"/>
    <n v="920854.68518000306"/>
    <n v="14"/>
    <n v="65775.334655714498"/>
    <s v="Low Value / Low Volume"/>
  </r>
  <r>
    <s v="Remitter 33"/>
    <x v="18"/>
    <n v="1222457.71333997"/>
    <n v="32"/>
    <n v="38201.803541874062"/>
    <s v="Low Value / Low Volume"/>
  </r>
  <r>
    <s v="Remitter 44"/>
    <x v="19"/>
    <n v="797784.29390000505"/>
    <n v="28"/>
    <n v="28492.296210714467"/>
    <s v="Low Value / Low Volume"/>
  </r>
  <r>
    <s v="Remitter 56"/>
    <x v="20"/>
    <n v="3693469.3401200101"/>
    <n v="93"/>
    <n v="39714.724087311937"/>
    <s v="Low Value / High Volume"/>
  </r>
  <r>
    <s v="Remitter 77"/>
    <x v="21"/>
    <n v="1407088.3310199699"/>
    <n v="62"/>
    <n v="22694.973080967255"/>
    <s v="Low Value / High Volume"/>
  </r>
  <r>
    <s v="Company 15"/>
    <x v="22"/>
    <n v="9552525.8561508898"/>
    <n v="77"/>
    <n v="124058.77735260896"/>
    <s v="High Value / High Volume"/>
  </r>
  <r>
    <s v="Company 29"/>
    <x v="23"/>
    <n v="5302613.7417900003"/>
    <n v="47"/>
    <n v="112821.56897425532"/>
    <s v="High Value / High Volume"/>
  </r>
  <r>
    <s v="Company 8"/>
    <x v="24"/>
    <n v="1270365.23427985"/>
    <n v="2"/>
    <n v="635182.61713992502"/>
    <s v="Low Value / Low Volume"/>
  </r>
  <r>
    <m/>
    <x v="25"/>
    <m/>
    <m/>
    <m/>
    <m/>
  </r>
  <r>
    <m/>
    <x v="25"/>
    <m/>
    <m/>
    <m/>
    <m/>
  </r>
  <r>
    <m/>
    <x v="25"/>
    <m/>
    <m/>
    <m/>
    <m/>
  </r>
  <r>
    <m/>
    <x v="25"/>
    <m/>
    <m/>
    <m/>
    <m/>
  </r>
  <r>
    <m/>
    <x v="25"/>
    <m/>
    <m/>
    <m/>
    <m/>
  </r>
  <r>
    <m/>
    <x v="25"/>
    <m/>
    <m/>
    <m/>
    <m/>
  </r>
  <r>
    <m/>
    <x v="25"/>
    <m/>
    <m/>
    <m/>
    <m/>
  </r>
  <r>
    <m/>
    <x v="25"/>
    <m/>
    <m/>
    <m/>
    <m/>
  </r>
  <r>
    <m/>
    <x v="25"/>
    <m/>
    <m/>
    <m/>
    <m/>
  </r>
  <r>
    <m/>
    <x v="25"/>
    <m/>
    <m/>
    <m/>
    <m/>
  </r>
  <r>
    <m/>
    <x v="25"/>
    <m/>
    <m/>
    <m/>
    <m/>
  </r>
  <r>
    <m/>
    <x v="25"/>
    <m/>
    <m/>
    <m/>
    <m/>
  </r>
  <r>
    <m/>
    <x v="25"/>
    <m/>
    <m/>
    <m/>
    <m/>
  </r>
  <r>
    <m/>
    <x v="25"/>
    <m/>
    <m/>
    <m/>
    <m/>
  </r>
  <r>
    <m/>
    <x v="25"/>
    <m/>
    <m/>
    <m/>
    <m/>
  </r>
  <r>
    <m/>
    <x v="25"/>
    <m/>
    <m/>
    <m/>
    <m/>
  </r>
  <r>
    <m/>
    <x v="25"/>
    <m/>
    <m/>
    <m/>
    <m/>
  </r>
  <r>
    <m/>
    <x v="25"/>
    <m/>
    <m/>
    <m/>
    <m/>
  </r>
  <r>
    <m/>
    <x v="25"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">
  <r>
    <s v="Bit Stamp Lux"/>
    <x v="0"/>
    <n v="74153771.441559598"/>
    <n v="64"/>
    <n v="1158652.6787743687"/>
  </r>
  <r>
    <s v="Bitstamp Europe S A"/>
    <x v="0"/>
    <n v="559556900.06935203"/>
    <n v="324"/>
    <n v="1727027.4693498518"/>
  </r>
  <r>
    <s v="Bitstamp Jan Novak"/>
    <x v="0"/>
    <n v="10766020.0152796"/>
    <n v="44"/>
    <n v="244682.27307453638"/>
  </r>
  <r>
    <s v="Bitstamp Ltd Uk"/>
    <x v="0"/>
    <n v="4006115.94535976"/>
    <n v="14"/>
    <n v="286151.13895426859"/>
  </r>
  <r>
    <s v="Bstmp Exch"/>
    <x v="0"/>
    <n v="42208600.108217999"/>
    <n v="87"/>
    <n v="485156.32308296551"/>
  </r>
  <r>
    <s v="Bit Panda At"/>
    <x v="1"/>
    <n v="6998395.9723596899"/>
    <n v="72"/>
    <n v="97199.94406055125"/>
  </r>
  <r>
    <s v="Bitpanda Gmbh"/>
    <x v="1"/>
    <n v="70374667.497140199"/>
    <n v="40"/>
    <n v="1759366.6874285049"/>
  </r>
  <r>
    <s v="Bitpanda Lukas Steiner"/>
    <x v="1"/>
    <n v="3062139.22783955"/>
    <n v="64"/>
    <n v="47845.925434992969"/>
  </r>
  <r>
    <s v="Bitpanda Vienna"/>
    <x v="1"/>
    <n v="2474451.2418599799"/>
    <n v="92"/>
    <n v="26896.209150651957"/>
  </r>
  <r>
    <s v="Btpnd Exchange"/>
    <x v="1"/>
    <n v="3274816.4366899701"/>
    <n v="43"/>
    <n v="76158.521783487682"/>
  </r>
  <r>
    <s v="Cbase Ireland"/>
    <x v="2"/>
    <n v="42213476.838086002"/>
    <n v="170"/>
    <n v="248314.5696358"/>
  </r>
  <r>
    <s v="Coinbase Europe Ltd"/>
    <x v="2"/>
    <n v="164815671.44890001"/>
    <n v="324"/>
    <n v="508690.34397808649"/>
  </r>
  <r>
    <s v="Coinbase Ireland Ltd"/>
    <x v="2"/>
    <n v="2393617.7035000101"/>
    <n v="70"/>
    <n v="34194.538621428714"/>
  </r>
  <r>
    <s v="Coinbase Pierre Dupont"/>
    <x v="2"/>
    <n v="2565693.2846699799"/>
    <n v="53"/>
    <n v="48409.307257924149"/>
  </r>
  <r>
    <s v="Kraken Europe Ltd"/>
    <x v="3"/>
    <n v="321542574.007155"/>
    <n v="267"/>
    <n v="1204279.3033975842"/>
  </r>
  <r>
    <s v="Kraken Exch Berlin"/>
    <x v="3"/>
    <n v="3708236.9144300502"/>
    <n v="44"/>
    <n v="84278.111691592043"/>
  </r>
  <r>
    <s v="Kraken Fin De"/>
    <x v="3"/>
    <n v="52250631.667508401"/>
    <n v="85"/>
    <n v="614713.31373539299"/>
  </r>
  <r>
    <s v="Kraken Sofia M Ller"/>
    <x v="3"/>
    <n v="9267440.2304216307"/>
    <n v="37"/>
    <n v="250471.35757896298"/>
  </r>
  <r>
    <s v="Krkn Ireland"/>
    <x v="3"/>
    <n v="51733040.594999999"/>
    <n v="3"/>
    <n v="17244346.864999998"/>
  </r>
  <r>
    <s v="Pax Os Eu"/>
    <x v="4"/>
    <n v="96065824.359539896"/>
    <n v="68"/>
    <n v="1412732.7111697043"/>
  </r>
  <r>
    <s v="Paxos Europe Ltd"/>
    <x v="4"/>
    <n v="59619422.223999999"/>
    <n v="62"/>
    <n v="961603.58425806451"/>
  </r>
  <r>
    <s v="Paxos Maria Rossi"/>
    <x v="4"/>
    <n v="2036456.5012400099"/>
    <n v="53"/>
    <n v="38423.707570566228"/>
  </r>
  <r>
    <s v="Paxos Uk Ltd"/>
    <x v="4"/>
    <n v="1697209.31556"/>
    <n v="83"/>
    <n v="20448.305006746989"/>
  </r>
  <r>
    <s v="Pxos Payments"/>
    <x v="4"/>
    <n v="10039542.860831499"/>
    <n v="37"/>
    <n v="271338.99623868917"/>
  </r>
  <r>
    <s v="Beneficiary 18"/>
    <x v="5"/>
    <n v="5412930.5856399899"/>
    <n v="703"/>
    <n v="7699.7590122901702"/>
  </r>
  <r>
    <s v="Beneficiary 27"/>
    <x v="6"/>
    <n v="4036306.16777999"/>
    <n v="1147"/>
    <n v="3519.0114801917962"/>
  </r>
  <r>
    <s v="Beneficiary 3"/>
    <x v="7"/>
    <n v="291717479.59785903"/>
    <n v="1504"/>
    <n v="193961.09015815094"/>
  </r>
  <r>
    <s v="Company 3"/>
    <x v="8"/>
    <n v="77000716.124697596"/>
    <n v="249"/>
    <n v="309239.82379396626"/>
  </r>
  <r>
    <s v="Company 5"/>
    <x v="9"/>
    <n v="550522.83283999597"/>
    <n v="65"/>
    <n v="8469.582043692245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0DB110-F2F9-496C-A726-78F0CE0280A0}" name="PivotTable1" cacheId="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D27" firstHeaderRow="0" firstDataRow="1" firstDataCol="1"/>
  <pivotFields count="6">
    <pivotField showAll="0"/>
    <pivotField axis="axisRow" showAll="0">
      <items count="27">
        <item x="1"/>
        <item x="22"/>
        <item x="23"/>
        <item x="24"/>
        <item x="3"/>
        <item x="2"/>
        <item x="4"/>
        <item x="0"/>
        <item x="5"/>
        <item x="6"/>
        <item x="7"/>
        <item x="8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9"/>
        <item h="1" x="25"/>
        <item t="default"/>
      </items>
    </pivotField>
    <pivotField dataField="1" showAll="0"/>
    <pivotField dataField="1" showAll="0"/>
    <pivotField dataField="1" showAll="0"/>
    <pivotField showAll="0"/>
  </pivotFields>
  <rowFields count="1">
    <field x="1"/>
  </rowFields>
  <rowItems count="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value_total" fld="2" baseField="0" baseItem="0"/>
    <dataField name="Sum of volume_total" fld="3" baseField="0" baseItem="0"/>
    <dataField name="Sum of avg_tx_value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86CA68-D26F-4C42-8E1C-1EE130EA3F45}" name="PivotTable2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D12" firstHeaderRow="0" firstDataRow="1" firstDataCol="1"/>
  <pivotFields count="5">
    <pivotField showAll="0"/>
    <pivotField axis="axisRow" showAll="0">
      <items count="11">
        <item x="5"/>
        <item x="6"/>
        <item x="7"/>
        <item x="1"/>
        <item x="0"/>
        <item x="2"/>
        <item x="8"/>
        <item x="9"/>
        <item x="3"/>
        <item x="4"/>
        <item t="default"/>
      </items>
    </pivotField>
    <pivotField dataField="1" numFmtId="164" showAll="0"/>
    <pivotField dataField="1" showAll="0"/>
    <pivotField dataField="1" numFmtId="164" showAll="0"/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value_total" fld="2" baseField="0" baseItem="0" numFmtId="164"/>
    <dataField name="Sum of volume_total" fld="3" baseField="0" baseItem="0"/>
    <dataField name="Sum of avg_tx_value" fld="4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4DB5E-9588-4A5D-B7EC-353AA730620B}">
  <dimension ref="A1:F66"/>
  <sheetViews>
    <sheetView workbookViewId="0">
      <selection activeCell="E1" sqref="E1"/>
    </sheetView>
  </sheetViews>
  <sheetFormatPr defaultRowHeight="15" x14ac:dyDescent="0.25"/>
  <cols>
    <col min="1" max="1" width="39.42578125" customWidth="1"/>
    <col min="2" max="2" width="18.85546875" customWidth="1"/>
    <col min="3" max="3" width="14.140625" style="1" customWidth="1"/>
    <col min="5" max="5" width="16.7109375" customWidth="1"/>
    <col min="6" max="6" width="21.85546875" customWidth="1"/>
  </cols>
  <sheetData>
    <row r="1" spans="1:6" x14ac:dyDescent="0.25">
      <c r="A1" t="s">
        <v>0</v>
      </c>
      <c r="B1" t="s">
        <v>102</v>
      </c>
      <c r="C1" s="1" t="s">
        <v>1</v>
      </c>
      <c r="D1" t="s">
        <v>2</v>
      </c>
      <c r="E1" t="s">
        <v>113</v>
      </c>
      <c r="F1" t="s">
        <v>3</v>
      </c>
    </row>
    <row r="2" spans="1:6" x14ac:dyDescent="0.25">
      <c r="A2" t="s">
        <v>18</v>
      </c>
      <c r="B2" t="s">
        <v>103</v>
      </c>
      <c r="C2" s="1">
        <v>52608934.133000001</v>
      </c>
      <c r="D2">
        <v>50</v>
      </c>
      <c r="E2" s="1">
        <f>C2/D2</f>
        <v>1052178.6826599999</v>
      </c>
      <c r="F2" t="s">
        <v>5</v>
      </c>
    </row>
    <row r="3" spans="1:6" x14ac:dyDescent="0.25">
      <c r="A3" t="s">
        <v>76</v>
      </c>
      <c r="B3" t="s">
        <v>103</v>
      </c>
      <c r="C3" s="1">
        <v>1802726.5457585</v>
      </c>
      <c r="D3">
        <v>1</v>
      </c>
      <c r="E3" s="1">
        <f>C3/D3</f>
        <v>1802726.5457585</v>
      </c>
      <c r="F3" t="s">
        <v>54</v>
      </c>
    </row>
    <row r="4" spans="1:6" x14ac:dyDescent="0.25">
      <c r="A4" t="s">
        <v>4</v>
      </c>
      <c r="B4" t="s">
        <v>103</v>
      </c>
      <c r="C4" s="1">
        <v>584439605.55900002</v>
      </c>
      <c r="D4">
        <v>276</v>
      </c>
      <c r="E4" s="1">
        <f>C4/D4</f>
        <v>2117534.8027500003</v>
      </c>
      <c r="F4" t="s">
        <v>5</v>
      </c>
    </row>
    <row r="5" spans="1:6" x14ac:dyDescent="0.25">
      <c r="A5" t="s">
        <v>48</v>
      </c>
      <c r="B5" t="s">
        <v>103</v>
      </c>
      <c r="C5" s="1">
        <v>6217437.1519999998</v>
      </c>
      <c r="D5">
        <v>103</v>
      </c>
      <c r="E5" s="1">
        <f>C5/D5</f>
        <v>60363.467495145625</v>
      </c>
      <c r="F5" t="s">
        <v>5</v>
      </c>
    </row>
    <row r="6" spans="1:6" x14ac:dyDescent="0.25">
      <c r="A6" t="s">
        <v>28</v>
      </c>
      <c r="B6" t="s">
        <v>103</v>
      </c>
      <c r="C6" s="1">
        <v>34706942.435999997</v>
      </c>
      <c r="D6">
        <v>43</v>
      </c>
      <c r="E6" s="1">
        <f>C6/D6</f>
        <v>807138.19618604647</v>
      </c>
      <c r="F6" t="s">
        <v>5</v>
      </c>
    </row>
    <row r="7" spans="1:6" x14ac:dyDescent="0.25">
      <c r="A7" t="s">
        <v>47</v>
      </c>
      <c r="B7" t="s">
        <v>108</v>
      </c>
      <c r="C7" s="1">
        <v>6811868.5055799503</v>
      </c>
      <c r="D7">
        <v>17</v>
      </c>
      <c r="E7" s="1">
        <f>C7/D7</f>
        <v>400698.14738705591</v>
      </c>
      <c r="F7" t="s">
        <v>21</v>
      </c>
    </row>
    <row r="8" spans="1:6" x14ac:dyDescent="0.25">
      <c r="A8" t="s">
        <v>89</v>
      </c>
      <c r="B8" t="s">
        <v>108</v>
      </c>
      <c r="C8" s="1">
        <v>798650.41512031597</v>
      </c>
      <c r="D8">
        <v>2</v>
      </c>
      <c r="E8" s="1">
        <f>C8/D8</f>
        <v>399325.20756015799</v>
      </c>
      <c r="F8" t="s">
        <v>54</v>
      </c>
    </row>
    <row r="9" spans="1:6" x14ac:dyDescent="0.25">
      <c r="A9" t="s">
        <v>92</v>
      </c>
      <c r="B9" t="s">
        <v>108</v>
      </c>
      <c r="C9" s="1">
        <v>714300</v>
      </c>
      <c r="D9">
        <v>39</v>
      </c>
      <c r="E9" s="1">
        <f>C9/D9</f>
        <v>18315.384615384617</v>
      </c>
      <c r="F9" t="s">
        <v>57</v>
      </c>
    </row>
    <row r="10" spans="1:6" x14ac:dyDescent="0.25">
      <c r="A10" t="s">
        <v>32</v>
      </c>
      <c r="B10" t="s">
        <v>108</v>
      </c>
      <c r="C10" s="1">
        <v>11094685.8976171</v>
      </c>
      <c r="D10">
        <v>14</v>
      </c>
      <c r="E10" s="1">
        <f>C10/D10</f>
        <v>792477.56411550718</v>
      </c>
      <c r="F10" t="s">
        <v>21</v>
      </c>
    </row>
    <row r="11" spans="1:6" x14ac:dyDescent="0.25">
      <c r="A11" t="s">
        <v>78</v>
      </c>
      <c r="B11" t="s">
        <v>108</v>
      </c>
      <c r="C11" s="1">
        <v>1682461.74522998</v>
      </c>
      <c r="D11">
        <v>28</v>
      </c>
      <c r="E11" s="1">
        <f>C11/D11</f>
        <v>60087.919472499285</v>
      </c>
      <c r="F11" t="s">
        <v>54</v>
      </c>
    </row>
    <row r="12" spans="1:6" x14ac:dyDescent="0.25">
      <c r="A12" t="s">
        <v>74</v>
      </c>
      <c r="B12" t="s">
        <v>109</v>
      </c>
      <c r="C12" s="1">
        <v>1882729.344</v>
      </c>
      <c r="D12">
        <v>3</v>
      </c>
      <c r="E12" s="1">
        <f>C12/D12</f>
        <v>627576.44799999997</v>
      </c>
      <c r="F12" t="s">
        <v>54</v>
      </c>
    </row>
    <row r="13" spans="1:6" x14ac:dyDescent="0.25">
      <c r="A13" t="s">
        <v>53</v>
      </c>
      <c r="B13" t="s">
        <v>109</v>
      </c>
      <c r="C13" s="1">
        <v>4620550.8371473802</v>
      </c>
      <c r="D13">
        <v>22</v>
      </c>
      <c r="E13" s="1">
        <f>C13/D13</f>
        <v>210025.03805215366</v>
      </c>
      <c r="F13" t="s">
        <v>54</v>
      </c>
    </row>
    <row r="14" spans="1:6" x14ac:dyDescent="0.25">
      <c r="A14" t="s">
        <v>85</v>
      </c>
      <c r="B14" t="s">
        <v>109</v>
      </c>
      <c r="C14" s="1">
        <v>969500</v>
      </c>
      <c r="D14">
        <v>3</v>
      </c>
      <c r="E14" s="1">
        <f>C14/D14</f>
        <v>323166.66666666669</v>
      </c>
      <c r="F14" t="s">
        <v>54</v>
      </c>
    </row>
    <row r="15" spans="1:6" x14ac:dyDescent="0.25">
      <c r="A15" t="s">
        <v>22</v>
      </c>
      <c r="B15" t="s">
        <v>109</v>
      </c>
      <c r="C15" s="1">
        <v>50456388.198986098</v>
      </c>
      <c r="D15">
        <v>32</v>
      </c>
      <c r="E15" s="1">
        <f>C15/D15</f>
        <v>1576762.1312183156</v>
      </c>
      <c r="F15" t="s">
        <v>21</v>
      </c>
    </row>
    <row r="16" spans="1:6" x14ac:dyDescent="0.25">
      <c r="A16" t="s">
        <v>87</v>
      </c>
      <c r="B16" t="s">
        <v>109</v>
      </c>
      <c r="C16" s="1">
        <v>920000</v>
      </c>
      <c r="D16">
        <v>4</v>
      </c>
      <c r="E16" s="1">
        <f>C16/D16</f>
        <v>230000</v>
      </c>
      <c r="F16" t="s">
        <v>54</v>
      </c>
    </row>
    <row r="17" spans="1:6" x14ac:dyDescent="0.25">
      <c r="A17" t="s">
        <v>40</v>
      </c>
      <c r="B17" t="s">
        <v>110</v>
      </c>
      <c r="C17" s="1">
        <v>8379290.8219999997</v>
      </c>
      <c r="D17">
        <v>9</v>
      </c>
      <c r="E17" s="1">
        <f>C17/D17</f>
        <v>931032.31355555553</v>
      </c>
      <c r="F17" t="s">
        <v>21</v>
      </c>
    </row>
    <row r="18" spans="1:6" x14ac:dyDescent="0.25">
      <c r="A18" t="s">
        <v>52</v>
      </c>
      <c r="B18" t="s">
        <v>110</v>
      </c>
      <c r="C18" s="1">
        <v>5011696.9679999901</v>
      </c>
      <c r="D18">
        <v>1</v>
      </c>
      <c r="E18" s="1">
        <f>C18/D18</f>
        <v>5011696.9679999901</v>
      </c>
      <c r="F18" t="s">
        <v>21</v>
      </c>
    </row>
    <row r="19" spans="1:6" x14ac:dyDescent="0.25">
      <c r="A19" t="s">
        <v>71</v>
      </c>
      <c r="B19" t="s">
        <v>110</v>
      </c>
      <c r="C19" s="1">
        <v>2156618.3629004201</v>
      </c>
      <c r="D19">
        <v>13</v>
      </c>
      <c r="E19" s="1">
        <f>C19/D19</f>
        <v>165893.72022310924</v>
      </c>
      <c r="F19" t="s">
        <v>54</v>
      </c>
    </row>
    <row r="20" spans="1:6" x14ac:dyDescent="0.25">
      <c r="A20" t="s">
        <v>37</v>
      </c>
      <c r="B20" t="s">
        <v>110</v>
      </c>
      <c r="C20" s="1">
        <v>9329219.8545600697</v>
      </c>
      <c r="D20">
        <v>31</v>
      </c>
      <c r="E20" s="1">
        <f>C20/D20</f>
        <v>300942.57595355064</v>
      </c>
      <c r="F20" t="s">
        <v>21</v>
      </c>
    </row>
    <row r="21" spans="1:6" x14ac:dyDescent="0.25">
      <c r="A21" t="s">
        <v>70</v>
      </c>
      <c r="B21" t="s">
        <v>110</v>
      </c>
      <c r="C21" s="1">
        <v>2320851.8021597802</v>
      </c>
      <c r="D21">
        <v>11</v>
      </c>
      <c r="E21" s="1">
        <f>C21/D21</f>
        <v>210986.52746907092</v>
      </c>
      <c r="F21" t="s">
        <v>54</v>
      </c>
    </row>
    <row r="22" spans="1:6" x14ac:dyDescent="0.25">
      <c r="A22" t="s">
        <v>46</v>
      </c>
      <c r="B22" t="s">
        <v>104</v>
      </c>
      <c r="C22" s="1">
        <v>6957274.4450000003</v>
      </c>
      <c r="D22">
        <v>6</v>
      </c>
      <c r="E22" s="1">
        <f>C22/D22</f>
        <v>1159545.7408333335</v>
      </c>
      <c r="F22" t="s">
        <v>21</v>
      </c>
    </row>
    <row r="23" spans="1:6" x14ac:dyDescent="0.25">
      <c r="A23" t="s">
        <v>94</v>
      </c>
      <c r="B23" t="s">
        <v>104</v>
      </c>
      <c r="C23" s="1">
        <v>580342.622599778</v>
      </c>
      <c r="D23">
        <v>2</v>
      </c>
      <c r="E23" s="1">
        <f>C23/D23</f>
        <v>290171.311299889</v>
      </c>
      <c r="F23" t="s">
        <v>54</v>
      </c>
    </row>
    <row r="24" spans="1:6" x14ac:dyDescent="0.25">
      <c r="A24" t="s">
        <v>88</v>
      </c>
      <c r="B24" t="s">
        <v>104</v>
      </c>
      <c r="C24" s="1">
        <v>853961.61974999995</v>
      </c>
      <c r="D24">
        <v>2</v>
      </c>
      <c r="E24" s="1">
        <f>C24/D24</f>
        <v>426980.80987499998</v>
      </c>
      <c r="F24" t="s">
        <v>54</v>
      </c>
    </row>
    <row r="25" spans="1:6" x14ac:dyDescent="0.25">
      <c r="A25" t="s">
        <v>29</v>
      </c>
      <c r="B25" t="s">
        <v>104</v>
      </c>
      <c r="C25" s="1">
        <v>27179043.695630901</v>
      </c>
      <c r="D25">
        <v>12</v>
      </c>
      <c r="E25" s="1">
        <f>C25/D25</f>
        <v>2264920.3079692419</v>
      </c>
      <c r="F25" t="s">
        <v>21</v>
      </c>
    </row>
    <row r="26" spans="1:6" x14ac:dyDescent="0.25">
      <c r="A26" t="s">
        <v>64</v>
      </c>
      <c r="B26" t="s">
        <v>104</v>
      </c>
      <c r="C26" s="1">
        <v>3216598.5887590102</v>
      </c>
      <c r="D26">
        <v>7</v>
      </c>
      <c r="E26" s="1">
        <f>C26/D26</f>
        <v>459514.08410843002</v>
      </c>
      <c r="F26" t="s">
        <v>54</v>
      </c>
    </row>
    <row r="27" spans="1:6" x14ac:dyDescent="0.25">
      <c r="A27" t="s">
        <v>39</v>
      </c>
      <c r="B27" t="s">
        <v>105</v>
      </c>
      <c r="C27" s="1">
        <v>8459000</v>
      </c>
      <c r="D27">
        <v>13</v>
      </c>
      <c r="E27" s="1">
        <f>C27/D27</f>
        <v>650692.30769230775</v>
      </c>
      <c r="F27" t="s">
        <v>21</v>
      </c>
    </row>
    <row r="28" spans="1:6" x14ac:dyDescent="0.25">
      <c r="A28" t="s">
        <v>41</v>
      </c>
      <c r="B28" t="s">
        <v>105</v>
      </c>
      <c r="C28" s="1">
        <v>8164727.5923803505</v>
      </c>
      <c r="D28">
        <v>51</v>
      </c>
      <c r="E28" s="1">
        <f>C28/D28</f>
        <v>160092.69788981081</v>
      </c>
      <c r="F28" t="s">
        <v>5</v>
      </c>
    </row>
    <row r="29" spans="1:6" x14ac:dyDescent="0.25">
      <c r="A29" t="s">
        <v>31</v>
      </c>
      <c r="B29" t="s">
        <v>105</v>
      </c>
      <c r="C29" s="1">
        <v>11770216.7429999</v>
      </c>
      <c r="D29">
        <v>5</v>
      </c>
      <c r="E29" s="1">
        <f>C29/D29</f>
        <v>2354043.3485999801</v>
      </c>
      <c r="F29" t="s">
        <v>21</v>
      </c>
    </row>
    <row r="30" spans="1:6" x14ac:dyDescent="0.25">
      <c r="A30" t="s">
        <v>11</v>
      </c>
      <c r="B30" t="s">
        <v>105</v>
      </c>
      <c r="C30" s="1">
        <v>123426855.011848</v>
      </c>
      <c r="D30">
        <v>56</v>
      </c>
      <c r="E30" s="1">
        <f>C30/D30</f>
        <v>2204050.9823544286</v>
      </c>
      <c r="F30" t="s">
        <v>5</v>
      </c>
    </row>
    <row r="31" spans="1:6" x14ac:dyDescent="0.25">
      <c r="A31" t="s">
        <v>79</v>
      </c>
      <c r="B31" t="s">
        <v>105</v>
      </c>
      <c r="C31" s="1">
        <v>1501392.30562977</v>
      </c>
      <c r="D31">
        <v>8</v>
      </c>
      <c r="E31" s="1">
        <f>C31/D31</f>
        <v>187674.03820372125</v>
      </c>
      <c r="F31" t="s">
        <v>54</v>
      </c>
    </row>
    <row r="32" spans="1:6" x14ac:dyDescent="0.25">
      <c r="A32" t="s">
        <v>23</v>
      </c>
      <c r="B32" t="s">
        <v>112</v>
      </c>
      <c r="C32" s="1">
        <v>43450472.133720003</v>
      </c>
      <c r="D32">
        <v>199</v>
      </c>
      <c r="E32" s="1">
        <f>C32/D32</f>
        <v>218344.08107396986</v>
      </c>
      <c r="F32" t="s">
        <v>5</v>
      </c>
    </row>
    <row r="33" spans="1:6" x14ac:dyDescent="0.25">
      <c r="A33" t="s">
        <v>43</v>
      </c>
      <c r="B33" t="s">
        <v>112</v>
      </c>
      <c r="C33" s="1">
        <v>7689897.3169999998</v>
      </c>
      <c r="D33">
        <v>19</v>
      </c>
      <c r="E33" s="1">
        <f>C33/D33</f>
        <v>404731.43773684208</v>
      </c>
      <c r="F33" t="s">
        <v>21</v>
      </c>
    </row>
    <row r="34" spans="1:6" x14ac:dyDescent="0.25">
      <c r="A34" t="s">
        <v>73</v>
      </c>
      <c r="B34" t="s">
        <v>112</v>
      </c>
      <c r="C34" s="1">
        <v>2022601.33767908</v>
      </c>
      <c r="D34">
        <v>4</v>
      </c>
      <c r="E34" s="1">
        <f>C34/D34</f>
        <v>505650.33441976999</v>
      </c>
      <c r="F34" t="s">
        <v>54</v>
      </c>
    </row>
    <row r="35" spans="1:6" x14ac:dyDescent="0.25">
      <c r="A35" t="s">
        <v>17</v>
      </c>
      <c r="B35" t="s">
        <v>112</v>
      </c>
      <c r="C35" s="1">
        <v>57791075.569664396</v>
      </c>
      <c r="D35">
        <v>36</v>
      </c>
      <c r="E35" s="1">
        <f>C35/D35</f>
        <v>1605307.6547128998</v>
      </c>
      <c r="F35" t="s">
        <v>5</v>
      </c>
    </row>
    <row r="36" spans="1:6" x14ac:dyDescent="0.25">
      <c r="A36" t="s">
        <v>96</v>
      </c>
      <c r="B36" t="s">
        <v>112</v>
      </c>
      <c r="C36" s="1">
        <v>492435.79799009999</v>
      </c>
      <c r="D36">
        <v>3</v>
      </c>
      <c r="E36" s="1">
        <f>C36/D36</f>
        <v>164145.26599670001</v>
      </c>
      <c r="F36" t="s">
        <v>54</v>
      </c>
    </row>
    <row r="37" spans="1:6" x14ac:dyDescent="0.25">
      <c r="A37" t="s">
        <v>30</v>
      </c>
      <c r="B37" t="s">
        <v>106</v>
      </c>
      <c r="C37" s="1">
        <v>16437700</v>
      </c>
      <c r="D37">
        <v>42</v>
      </c>
      <c r="E37" s="1">
        <f>C37/D37</f>
        <v>391373.80952380953</v>
      </c>
      <c r="F37" t="s">
        <v>5</v>
      </c>
    </row>
    <row r="38" spans="1:6" x14ac:dyDescent="0.25">
      <c r="A38" t="s">
        <v>27</v>
      </c>
      <c r="B38" t="s">
        <v>106</v>
      </c>
      <c r="C38" s="1">
        <v>38418229.230999999</v>
      </c>
      <c r="D38">
        <v>13</v>
      </c>
      <c r="E38" s="1">
        <f>C38/D38</f>
        <v>2955248.4023846155</v>
      </c>
      <c r="F38" t="s">
        <v>21</v>
      </c>
    </row>
    <row r="39" spans="1:6" x14ac:dyDescent="0.25">
      <c r="A39" t="s">
        <v>26</v>
      </c>
      <c r="B39" t="s">
        <v>106</v>
      </c>
      <c r="C39" s="1">
        <v>40182839.542000003</v>
      </c>
      <c r="D39">
        <v>22</v>
      </c>
      <c r="E39" s="1">
        <f>C39/D39</f>
        <v>1826492.7064545455</v>
      </c>
      <c r="F39" t="s">
        <v>21</v>
      </c>
    </row>
    <row r="40" spans="1:6" x14ac:dyDescent="0.25">
      <c r="A40" t="s">
        <v>61</v>
      </c>
      <c r="B40" t="s">
        <v>106</v>
      </c>
      <c r="C40" s="1">
        <v>3683325.9210000001</v>
      </c>
      <c r="D40">
        <v>10</v>
      </c>
      <c r="E40" s="1">
        <f>C40/D40</f>
        <v>368332.59210000001</v>
      </c>
      <c r="F40" t="s">
        <v>54</v>
      </c>
    </row>
    <row r="41" spans="1:6" x14ac:dyDescent="0.25">
      <c r="A41" t="s">
        <v>62</v>
      </c>
      <c r="B41" t="s">
        <v>106</v>
      </c>
      <c r="C41" s="1">
        <v>3596547.9117897698</v>
      </c>
      <c r="D41">
        <v>18</v>
      </c>
      <c r="E41" s="1">
        <f>C41/D41</f>
        <v>199808.21732165388</v>
      </c>
      <c r="F41" t="s">
        <v>54</v>
      </c>
    </row>
    <row r="42" spans="1:6" x14ac:dyDescent="0.25">
      <c r="A42" t="s">
        <v>83</v>
      </c>
      <c r="B42" t="s">
        <v>111</v>
      </c>
      <c r="C42" s="1">
        <v>1173339.98422023</v>
      </c>
      <c r="D42">
        <v>6</v>
      </c>
      <c r="E42" s="1">
        <f>C42/D42</f>
        <v>195556.66403670501</v>
      </c>
      <c r="F42" t="s">
        <v>54</v>
      </c>
    </row>
    <row r="43" spans="1:6" x14ac:dyDescent="0.25">
      <c r="A43" t="s">
        <v>91</v>
      </c>
      <c r="B43" t="s">
        <v>111</v>
      </c>
      <c r="C43" s="1">
        <v>792613.36033997801</v>
      </c>
      <c r="D43">
        <v>25</v>
      </c>
      <c r="E43" s="1">
        <f>C43/D43</f>
        <v>31704.534413599122</v>
      </c>
      <c r="F43" t="s">
        <v>54</v>
      </c>
    </row>
    <row r="44" spans="1:6" x14ac:dyDescent="0.25">
      <c r="A44" t="s">
        <v>9</v>
      </c>
      <c r="B44" t="s">
        <v>111</v>
      </c>
      <c r="C44" s="1">
        <v>207753930.24700001</v>
      </c>
      <c r="D44">
        <v>123</v>
      </c>
      <c r="E44" s="1">
        <f>C44/D44</f>
        <v>1689056.3434715448</v>
      </c>
      <c r="F44" t="s">
        <v>5</v>
      </c>
    </row>
    <row r="45" spans="1:6" x14ac:dyDescent="0.25">
      <c r="A45" t="s">
        <v>34</v>
      </c>
      <c r="B45" t="s">
        <v>111</v>
      </c>
      <c r="C45" s="1">
        <v>10662115.673</v>
      </c>
      <c r="D45">
        <v>22</v>
      </c>
      <c r="E45" s="1">
        <f>C45/D45</f>
        <v>484641.62150000001</v>
      </c>
      <c r="F45" t="s">
        <v>21</v>
      </c>
    </row>
    <row r="46" spans="1:6" x14ac:dyDescent="0.25">
      <c r="A46" t="s">
        <v>66</v>
      </c>
      <c r="B46" t="s">
        <v>111</v>
      </c>
      <c r="C46" s="1">
        <v>2727201.1</v>
      </c>
      <c r="D46">
        <v>58</v>
      </c>
      <c r="E46" s="1">
        <f>C46/D46</f>
        <v>47020.708620689657</v>
      </c>
      <c r="F46" t="s">
        <v>57</v>
      </c>
    </row>
    <row r="47" spans="1:6" x14ac:dyDescent="0.25">
      <c r="A47" t="s">
        <v>49</v>
      </c>
      <c r="B47" t="s">
        <v>107</v>
      </c>
      <c r="C47" s="1">
        <v>5640000</v>
      </c>
      <c r="D47">
        <v>18</v>
      </c>
      <c r="E47" s="1">
        <f>C47/D47</f>
        <v>313333.33333333331</v>
      </c>
      <c r="F47" t="s">
        <v>21</v>
      </c>
    </row>
    <row r="48" spans="1:6" x14ac:dyDescent="0.25">
      <c r="A48" t="s">
        <v>98</v>
      </c>
      <c r="B48" t="s">
        <v>107</v>
      </c>
      <c r="C48" s="1">
        <v>269402.74612000299</v>
      </c>
      <c r="D48">
        <v>10</v>
      </c>
      <c r="E48" s="1">
        <f>C48/D48</f>
        <v>26940.274612000299</v>
      </c>
      <c r="F48" t="s">
        <v>54</v>
      </c>
    </row>
    <row r="49" spans="1:6" x14ac:dyDescent="0.25">
      <c r="A49" t="s">
        <v>42</v>
      </c>
      <c r="B49" t="s">
        <v>107</v>
      </c>
      <c r="C49" s="1">
        <v>8039587.2387199998</v>
      </c>
      <c r="D49">
        <v>36</v>
      </c>
      <c r="E49" s="1">
        <f>C49/D49</f>
        <v>223321.86774222221</v>
      </c>
      <c r="F49" t="s">
        <v>5</v>
      </c>
    </row>
    <row r="50" spans="1:6" x14ac:dyDescent="0.25">
      <c r="A50" t="s">
        <v>97</v>
      </c>
      <c r="B50" t="s">
        <v>107</v>
      </c>
      <c r="C50" s="1">
        <v>418000</v>
      </c>
      <c r="D50">
        <v>12</v>
      </c>
      <c r="E50" s="1">
        <f>C50/D50</f>
        <v>34833.333333333336</v>
      </c>
      <c r="F50" t="s">
        <v>54</v>
      </c>
    </row>
    <row r="51" spans="1:6" x14ac:dyDescent="0.25">
      <c r="A51" t="s">
        <v>55</v>
      </c>
      <c r="B51" t="s">
        <v>107</v>
      </c>
      <c r="C51" s="1">
        <v>4439060.3394151097</v>
      </c>
      <c r="D51">
        <v>6</v>
      </c>
      <c r="E51" s="1">
        <f>C51/D51</f>
        <v>739843.38990251825</v>
      </c>
      <c r="F51" t="s">
        <v>54</v>
      </c>
    </row>
    <row r="52" spans="1:6" x14ac:dyDescent="0.25">
      <c r="A52" t="s">
        <v>101</v>
      </c>
      <c r="B52" t="s">
        <v>101</v>
      </c>
      <c r="C52" s="1">
        <v>20632.218750000698</v>
      </c>
      <c r="D52">
        <v>1</v>
      </c>
      <c r="E52" s="1">
        <f>C52/D52</f>
        <v>20632.218750000698</v>
      </c>
      <c r="F52" t="s">
        <v>54</v>
      </c>
    </row>
    <row r="53" spans="1:6" x14ac:dyDescent="0.25">
      <c r="A53" t="s">
        <v>93</v>
      </c>
      <c r="B53" t="s">
        <v>93</v>
      </c>
      <c r="C53" s="1">
        <v>699728.90914999903</v>
      </c>
      <c r="D53">
        <v>31</v>
      </c>
      <c r="E53" s="1">
        <f>C53/D53</f>
        <v>22571.90029516126</v>
      </c>
      <c r="F53" t="s">
        <v>54</v>
      </c>
    </row>
    <row r="54" spans="1:6" x14ac:dyDescent="0.25">
      <c r="A54" t="s">
        <v>84</v>
      </c>
      <c r="B54" t="s">
        <v>84</v>
      </c>
      <c r="C54" s="1">
        <v>1025587.2849599899</v>
      </c>
      <c r="D54">
        <v>77</v>
      </c>
      <c r="E54" s="1">
        <f>C54/D54</f>
        <v>13319.315389090778</v>
      </c>
      <c r="F54" t="s">
        <v>57</v>
      </c>
    </row>
    <row r="55" spans="1:6" x14ac:dyDescent="0.25">
      <c r="A55" t="s">
        <v>75</v>
      </c>
      <c r="B55" t="s">
        <v>75</v>
      </c>
      <c r="C55" s="1">
        <v>1873156.5427900101</v>
      </c>
      <c r="D55">
        <v>57</v>
      </c>
      <c r="E55" s="1">
        <f>C55/D55</f>
        <v>32862.395487544039</v>
      </c>
      <c r="F55" t="s">
        <v>57</v>
      </c>
    </row>
    <row r="56" spans="1:6" x14ac:dyDescent="0.25">
      <c r="A56" t="s">
        <v>99</v>
      </c>
      <c r="B56" t="s">
        <v>99</v>
      </c>
      <c r="C56" s="1">
        <v>29106.495399998999</v>
      </c>
      <c r="D56">
        <v>4</v>
      </c>
      <c r="E56" s="1">
        <f>C56/D56</f>
        <v>7276.6238499997498</v>
      </c>
      <c r="F56" t="s">
        <v>54</v>
      </c>
    </row>
    <row r="57" spans="1:6" x14ac:dyDescent="0.25">
      <c r="A57" t="s">
        <v>100</v>
      </c>
      <c r="B57" t="s">
        <v>100</v>
      </c>
      <c r="C57" s="1">
        <v>22972.6417</v>
      </c>
      <c r="D57">
        <v>10</v>
      </c>
      <c r="E57" s="1">
        <f>C57/D57</f>
        <v>2297.2641699999999</v>
      </c>
      <c r="F57" t="s">
        <v>54</v>
      </c>
    </row>
    <row r="58" spans="1:6" x14ac:dyDescent="0.25">
      <c r="A58" t="s">
        <v>44</v>
      </c>
      <c r="B58" t="s">
        <v>44</v>
      </c>
      <c r="C58" s="1">
        <v>7631537.9141600803</v>
      </c>
      <c r="D58">
        <v>187</v>
      </c>
      <c r="E58" s="1">
        <f>C58/D58</f>
        <v>40810.363177326632</v>
      </c>
      <c r="F58" t="s">
        <v>5</v>
      </c>
    </row>
    <row r="59" spans="1:6" x14ac:dyDescent="0.25">
      <c r="A59" t="s">
        <v>86</v>
      </c>
      <c r="B59" t="s">
        <v>86</v>
      </c>
      <c r="C59" s="1">
        <v>920854.68518000306</v>
      </c>
      <c r="D59">
        <v>14</v>
      </c>
      <c r="E59" s="1">
        <f>C59/D59</f>
        <v>65775.334655714498</v>
      </c>
      <c r="F59" t="s">
        <v>54</v>
      </c>
    </row>
    <row r="60" spans="1:6" x14ac:dyDescent="0.25">
      <c r="A60" t="s">
        <v>82</v>
      </c>
      <c r="B60" t="s">
        <v>82</v>
      </c>
      <c r="C60" s="1">
        <v>1222457.71333997</v>
      </c>
      <c r="D60">
        <v>32</v>
      </c>
      <c r="E60" s="1">
        <f>C60/D60</f>
        <v>38201.803541874062</v>
      </c>
      <c r="F60" t="s">
        <v>54</v>
      </c>
    </row>
    <row r="61" spans="1:6" x14ac:dyDescent="0.25">
      <c r="A61" t="s">
        <v>90</v>
      </c>
      <c r="B61" t="s">
        <v>90</v>
      </c>
      <c r="C61" s="1">
        <v>797784.29390000505</v>
      </c>
      <c r="D61">
        <v>28</v>
      </c>
      <c r="E61" s="1">
        <f>C61/D61</f>
        <v>28492.296210714467</v>
      </c>
      <c r="F61" t="s">
        <v>54</v>
      </c>
    </row>
    <row r="62" spans="1:6" x14ac:dyDescent="0.25">
      <c r="A62" t="s">
        <v>60</v>
      </c>
      <c r="B62" t="s">
        <v>60</v>
      </c>
      <c r="C62" s="1">
        <v>3693469.3401200101</v>
      </c>
      <c r="D62">
        <v>93</v>
      </c>
      <c r="E62" s="1">
        <f>C62/D62</f>
        <v>39714.724087311937</v>
      </c>
      <c r="F62" t="s">
        <v>57</v>
      </c>
    </row>
    <row r="63" spans="1:6" x14ac:dyDescent="0.25">
      <c r="A63" t="s">
        <v>80</v>
      </c>
      <c r="B63" t="s">
        <v>80</v>
      </c>
      <c r="C63" s="1">
        <v>1407088.3310199699</v>
      </c>
      <c r="D63">
        <v>62</v>
      </c>
      <c r="E63" s="1">
        <f>C63/D63</f>
        <v>22694.973080967255</v>
      </c>
      <c r="F63" t="s">
        <v>57</v>
      </c>
    </row>
    <row r="64" spans="1:6" x14ac:dyDescent="0.25">
      <c r="A64" t="s">
        <v>36</v>
      </c>
      <c r="B64" t="s">
        <v>36</v>
      </c>
      <c r="C64" s="1">
        <v>9552525.8561508898</v>
      </c>
      <c r="D64">
        <v>77</v>
      </c>
      <c r="E64" s="1">
        <f>C64/D64</f>
        <v>124058.77735260896</v>
      </c>
      <c r="F64" t="s">
        <v>5</v>
      </c>
    </row>
    <row r="65" spans="1:6" x14ac:dyDescent="0.25">
      <c r="A65" t="s">
        <v>51</v>
      </c>
      <c r="B65" t="s">
        <v>51</v>
      </c>
      <c r="C65" s="1">
        <v>5302613.7417900003</v>
      </c>
      <c r="D65">
        <v>47</v>
      </c>
      <c r="E65" s="1">
        <f>C65/D65</f>
        <v>112821.56897425532</v>
      </c>
      <c r="F65" t="s">
        <v>5</v>
      </c>
    </row>
    <row r="66" spans="1:6" x14ac:dyDescent="0.25">
      <c r="A66" t="s">
        <v>81</v>
      </c>
      <c r="B66" t="s">
        <v>81</v>
      </c>
      <c r="C66" s="1">
        <v>1270365.23427985</v>
      </c>
      <c r="D66">
        <v>2</v>
      </c>
      <c r="E66" s="1">
        <f>C66/D66</f>
        <v>635182.61713992502</v>
      </c>
      <c r="F66" t="s">
        <v>54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8E22C5-CC5F-414B-A95F-C0B542D26369}">
  <dimension ref="A1:I27"/>
  <sheetViews>
    <sheetView workbookViewId="0">
      <selection activeCell="F1" sqref="F1:I1"/>
    </sheetView>
  </sheetViews>
  <sheetFormatPr defaultRowHeight="15" x14ac:dyDescent="0.25"/>
  <cols>
    <col min="1" max="1" width="13.42578125" bestFit="1" customWidth="1"/>
    <col min="2" max="2" width="17.85546875" bestFit="1" customWidth="1"/>
    <col min="3" max="3" width="19.7109375" bestFit="1" customWidth="1"/>
    <col min="4" max="4" width="19.28515625" bestFit="1" customWidth="1"/>
    <col min="7" max="7" width="14.85546875" customWidth="1"/>
    <col min="8" max="8" width="14.140625" customWidth="1"/>
    <col min="9" max="9" width="17.28515625" customWidth="1"/>
  </cols>
  <sheetData>
    <row r="1" spans="1:9" x14ac:dyDescent="0.25">
      <c r="A1" s="3" t="s">
        <v>114</v>
      </c>
      <c r="B1" t="s">
        <v>116</v>
      </c>
      <c r="C1" t="s">
        <v>117</v>
      </c>
      <c r="D1" t="s">
        <v>118</v>
      </c>
      <c r="F1" t="s">
        <v>119</v>
      </c>
      <c r="G1" t="s">
        <v>1</v>
      </c>
      <c r="H1" t="s">
        <v>2</v>
      </c>
      <c r="I1" t="s">
        <v>113</v>
      </c>
    </row>
    <row r="2" spans="1:9" x14ac:dyDescent="0.25">
      <c r="A2" s="4" t="s">
        <v>108</v>
      </c>
      <c r="B2" s="5">
        <v>21101966.563547343</v>
      </c>
      <c r="C2" s="5">
        <v>100</v>
      </c>
      <c r="D2" s="5">
        <v>1670904.2231506049</v>
      </c>
      <c r="F2" s="4" t="s">
        <v>108</v>
      </c>
      <c r="G2" s="1">
        <v>21101966.563547343</v>
      </c>
      <c r="H2" s="1">
        <v>100</v>
      </c>
      <c r="I2" s="1">
        <v>1670904.2231506049</v>
      </c>
    </row>
    <row r="3" spans="1:9" x14ac:dyDescent="0.25">
      <c r="A3" s="4" t="s">
        <v>36</v>
      </c>
      <c r="B3" s="5">
        <v>9552525.8561508898</v>
      </c>
      <c r="C3" s="5">
        <v>77</v>
      </c>
      <c r="D3" s="5">
        <v>124058.77735260896</v>
      </c>
      <c r="F3" s="4" t="s">
        <v>36</v>
      </c>
      <c r="G3" s="1">
        <v>9552525.8561508898</v>
      </c>
      <c r="H3" s="1">
        <v>77</v>
      </c>
      <c r="I3" s="1">
        <v>124058.77735260896</v>
      </c>
    </row>
    <row r="4" spans="1:9" x14ac:dyDescent="0.25">
      <c r="A4" s="4" t="s">
        <v>51</v>
      </c>
      <c r="B4" s="5">
        <v>5302613.7417900003</v>
      </c>
      <c r="C4" s="5">
        <v>47</v>
      </c>
      <c r="D4" s="5">
        <v>112821.56897425532</v>
      </c>
      <c r="F4" s="4" t="s">
        <v>51</v>
      </c>
      <c r="G4" s="1">
        <v>5302613.7417900003</v>
      </c>
      <c r="H4" s="1">
        <v>47</v>
      </c>
      <c r="I4" s="1">
        <v>112821.56897425532</v>
      </c>
    </row>
    <row r="5" spans="1:9" x14ac:dyDescent="0.25">
      <c r="A5" s="4" t="s">
        <v>81</v>
      </c>
      <c r="B5" s="5">
        <v>1270365.23427985</v>
      </c>
      <c r="C5" s="5">
        <v>2</v>
      </c>
      <c r="D5" s="5">
        <v>635182.61713992502</v>
      </c>
      <c r="F5" s="4" t="s">
        <v>81</v>
      </c>
      <c r="G5" s="1">
        <v>1270365.23427985</v>
      </c>
      <c r="H5" s="1">
        <v>2</v>
      </c>
      <c r="I5" s="1">
        <v>635182.61713992502</v>
      </c>
    </row>
    <row r="6" spans="1:9" x14ac:dyDescent="0.25">
      <c r="A6" s="4" t="s">
        <v>110</v>
      </c>
      <c r="B6" s="5">
        <v>27197677.809620257</v>
      </c>
      <c r="C6" s="5">
        <v>65</v>
      </c>
      <c r="D6" s="5">
        <v>6620552.105201276</v>
      </c>
      <c r="F6" s="4" t="s">
        <v>110</v>
      </c>
      <c r="G6" s="1">
        <v>27197677.809620257</v>
      </c>
      <c r="H6" s="1">
        <v>65</v>
      </c>
      <c r="I6" s="1">
        <v>6620552.105201276</v>
      </c>
    </row>
    <row r="7" spans="1:9" x14ac:dyDescent="0.25">
      <c r="A7" s="4" t="s">
        <v>109</v>
      </c>
      <c r="B7" s="5">
        <v>58849168.38013348</v>
      </c>
      <c r="C7" s="5">
        <v>64</v>
      </c>
      <c r="D7" s="5">
        <v>2967530.2839371357</v>
      </c>
      <c r="F7" s="4" t="s">
        <v>109</v>
      </c>
      <c r="G7" s="1">
        <v>58849168.38013348</v>
      </c>
      <c r="H7" s="1">
        <v>64</v>
      </c>
      <c r="I7" s="1">
        <v>2967530.2839371357</v>
      </c>
    </row>
    <row r="8" spans="1:9" x14ac:dyDescent="0.25">
      <c r="A8" s="4" t="s">
        <v>104</v>
      </c>
      <c r="B8" s="5">
        <v>38787220.971739687</v>
      </c>
      <c r="C8" s="5">
        <v>29</v>
      </c>
      <c r="D8" s="5">
        <v>4601132.2540858947</v>
      </c>
      <c r="F8" s="4" t="s">
        <v>104</v>
      </c>
      <c r="G8" s="1">
        <v>38787220.971739687</v>
      </c>
      <c r="H8" s="1">
        <v>29</v>
      </c>
      <c r="I8" s="1">
        <v>4601132.2540858947</v>
      </c>
    </row>
    <row r="9" spans="1:9" x14ac:dyDescent="0.25">
      <c r="A9" s="4" t="s">
        <v>103</v>
      </c>
      <c r="B9" s="5">
        <v>679775645.82575846</v>
      </c>
      <c r="C9" s="5">
        <v>473</v>
      </c>
      <c r="D9" s="5">
        <v>5839941.6948496914</v>
      </c>
      <c r="F9" s="4" t="s">
        <v>103</v>
      </c>
      <c r="G9" s="1">
        <v>679775645.82575846</v>
      </c>
      <c r="H9" s="1">
        <v>473</v>
      </c>
      <c r="I9" s="1">
        <v>5839941.6948496914</v>
      </c>
    </row>
    <row r="10" spans="1:9" x14ac:dyDescent="0.25">
      <c r="A10" s="4" t="s">
        <v>105</v>
      </c>
      <c r="B10" s="5">
        <v>153322191.65285802</v>
      </c>
      <c r="C10" s="5">
        <v>133</v>
      </c>
      <c r="D10" s="5">
        <v>5556553.3747402476</v>
      </c>
      <c r="F10" s="4" t="s">
        <v>105</v>
      </c>
      <c r="G10" s="1">
        <v>153322191.65285802</v>
      </c>
      <c r="H10" s="1">
        <v>133</v>
      </c>
      <c r="I10" s="1">
        <v>5556553.3747402476</v>
      </c>
    </row>
    <row r="11" spans="1:9" x14ac:dyDescent="0.25">
      <c r="A11" s="4" t="s">
        <v>112</v>
      </c>
      <c r="B11" s="5">
        <v>111446482.15605359</v>
      </c>
      <c r="C11" s="5">
        <v>261</v>
      </c>
      <c r="D11" s="5">
        <v>2898178.7739401818</v>
      </c>
      <c r="F11" s="4" t="s">
        <v>112</v>
      </c>
      <c r="G11" s="1">
        <v>111446482.15605359</v>
      </c>
      <c r="H11" s="1">
        <v>261</v>
      </c>
      <c r="I11" s="1">
        <v>2898178.7739401818</v>
      </c>
    </row>
    <row r="12" spans="1:9" x14ac:dyDescent="0.25">
      <c r="A12" s="4" t="s">
        <v>106</v>
      </c>
      <c r="B12" s="5">
        <v>102318642.60578978</v>
      </c>
      <c r="C12" s="5">
        <v>105</v>
      </c>
      <c r="D12" s="5">
        <v>5741255.7277846243</v>
      </c>
      <c r="F12" s="4" t="s">
        <v>106</v>
      </c>
      <c r="G12" s="1">
        <v>102318642.60578978</v>
      </c>
      <c r="H12" s="1">
        <v>105</v>
      </c>
      <c r="I12" s="1">
        <v>5741255.7277846243</v>
      </c>
    </row>
    <row r="13" spans="1:9" x14ac:dyDescent="0.25">
      <c r="A13" s="4" t="s">
        <v>111</v>
      </c>
      <c r="B13" s="5">
        <v>223109200.36456022</v>
      </c>
      <c r="C13" s="5">
        <v>234</v>
      </c>
      <c r="D13" s="5">
        <v>2447979.8720425386</v>
      </c>
      <c r="F13" s="4" t="s">
        <v>111</v>
      </c>
      <c r="G13" s="1">
        <v>223109200.36456022</v>
      </c>
      <c r="H13" s="1">
        <v>234</v>
      </c>
      <c r="I13" s="1">
        <v>2447979.8720425386</v>
      </c>
    </row>
    <row r="14" spans="1:9" x14ac:dyDescent="0.25">
      <c r="A14" s="4" t="s">
        <v>101</v>
      </c>
      <c r="B14" s="5">
        <v>20632.218750000698</v>
      </c>
      <c r="C14" s="5">
        <v>1</v>
      </c>
      <c r="D14" s="5">
        <v>20632.218750000698</v>
      </c>
      <c r="F14" s="4" t="s">
        <v>101</v>
      </c>
      <c r="G14" s="1">
        <v>20632.218750000698</v>
      </c>
      <c r="H14" s="1">
        <v>1</v>
      </c>
      <c r="I14" s="1">
        <v>20632.218750000698</v>
      </c>
    </row>
    <row r="15" spans="1:9" x14ac:dyDescent="0.25">
      <c r="A15" s="4" t="s">
        <v>93</v>
      </c>
      <c r="B15" s="5">
        <v>699728.90914999903</v>
      </c>
      <c r="C15" s="5">
        <v>31</v>
      </c>
      <c r="D15" s="5">
        <v>22571.90029516126</v>
      </c>
      <c r="F15" s="4" t="s">
        <v>93</v>
      </c>
      <c r="G15" s="1">
        <v>699728.90914999903</v>
      </c>
      <c r="H15" s="1">
        <v>31</v>
      </c>
      <c r="I15" s="1">
        <v>22571.90029516126</v>
      </c>
    </row>
    <row r="16" spans="1:9" x14ac:dyDescent="0.25">
      <c r="A16" s="4" t="s">
        <v>84</v>
      </c>
      <c r="B16" s="5">
        <v>1025587.2849599899</v>
      </c>
      <c r="C16" s="5">
        <v>77</v>
      </c>
      <c r="D16" s="5">
        <v>13319.315389090778</v>
      </c>
      <c r="F16" s="4" t="s">
        <v>84</v>
      </c>
      <c r="G16" s="1">
        <v>1025587.2849599899</v>
      </c>
      <c r="H16" s="1">
        <v>77</v>
      </c>
      <c r="I16" s="1">
        <v>13319.315389090778</v>
      </c>
    </row>
    <row r="17" spans="1:9" x14ac:dyDescent="0.25">
      <c r="A17" s="4" t="s">
        <v>75</v>
      </c>
      <c r="B17" s="5">
        <v>1873156.5427900101</v>
      </c>
      <c r="C17" s="5">
        <v>57</v>
      </c>
      <c r="D17" s="5">
        <v>32862.395487544039</v>
      </c>
      <c r="F17" s="4" t="s">
        <v>75</v>
      </c>
      <c r="G17" s="1">
        <v>1873156.5427900101</v>
      </c>
      <c r="H17" s="1">
        <v>57</v>
      </c>
      <c r="I17" s="1">
        <v>32862.395487544039</v>
      </c>
    </row>
    <row r="18" spans="1:9" x14ac:dyDescent="0.25">
      <c r="A18" s="4" t="s">
        <v>99</v>
      </c>
      <c r="B18" s="5">
        <v>29106.495399998999</v>
      </c>
      <c r="C18" s="5">
        <v>4</v>
      </c>
      <c r="D18" s="5">
        <v>7276.6238499997498</v>
      </c>
      <c r="F18" s="4" t="s">
        <v>99</v>
      </c>
      <c r="G18" s="1">
        <v>29106.495399998999</v>
      </c>
      <c r="H18" s="1">
        <v>4</v>
      </c>
      <c r="I18" s="1">
        <v>7276.6238499997498</v>
      </c>
    </row>
    <row r="19" spans="1:9" x14ac:dyDescent="0.25">
      <c r="A19" s="4" t="s">
        <v>100</v>
      </c>
      <c r="B19" s="5">
        <v>22972.6417</v>
      </c>
      <c r="C19" s="5">
        <v>10</v>
      </c>
      <c r="D19" s="5">
        <v>2297.2641699999999</v>
      </c>
      <c r="F19" s="4" t="s">
        <v>100</v>
      </c>
      <c r="G19" s="1">
        <v>22972.6417</v>
      </c>
      <c r="H19" s="1">
        <v>10</v>
      </c>
      <c r="I19" s="1">
        <v>2297.2641699999999</v>
      </c>
    </row>
    <row r="20" spans="1:9" x14ac:dyDescent="0.25">
      <c r="A20" s="4" t="s">
        <v>44</v>
      </c>
      <c r="B20" s="5">
        <v>7631537.9141600803</v>
      </c>
      <c r="C20" s="5">
        <v>187</v>
      </c>
      <c r="D20" s="5">
        <v>40810.363177326632</v>
      </c>
      <c r="F20" s="4" t="s">
        <v>44</v>
      </c>
      <c r="G20" s="1">
        <v>7631537.9141600803</v>
      </c>
      <c r="H20" s="1">
        <v>187</v>
      </c>
      <c r="I20" s="1">
        <v>40810.363177326632</v>
      </c>
    </row>
    <row r="21" spans="1:9" x14ac:dyDescent="0.25">
      <c r="A21" s="4" t="s">
        <v>86</v>
      </c>
      <c r="B21" s="5">
        <v>920854.68518000306</v>
      </c>
      <c r="C21" s="5">
        <v>14</v>
      </c>
      <c r="D21" s="5">
        <v>65775.334655714498</v>
      </c>
      <c r="F21" s="4" t="s">
        <v>86</v>
      </c>
      <c r="G21" s="1">
        <v>920854.68518000306</v>
      </c>
      <c r="H21" s="1">
        <v>14</v>
      </c>
      <c r="I21" s="1">
        <v>65775.334655714498</v>
      </c>
    </row>
    <row r="22" spans="1:9" x14ac:dyDescent="0.25">
      <c r="A22" s="4" t="s">
        <v>82</v>
      </c>
      <c r="B22" s="5">
        <v>1222457.71333997</v>
      </c>
      <c r="C22" s="5">
        <v>32</v>
      </c>
      <c r="D22" s="5">
        <v>38201.803541874062</v>
      </c>
      <c r="F22" s="4" t="s">
        <v>82</v>
      </c>
      <c r="G22" s="1">
        <v>1222457.71333997</v>
      </c>
      <c r="H22" s="1">
        <v>32</v>
      </c>
      <c r="I22" s="1">
        <v>38201.803541874062</v>
      </c>
    </row>
    <row r="23" spans="1:9" x14ac:dyDescent="0.25">
      <c r="A23" s="4" t="s">
        <v>90</v>
      </c>
      <c r="B23" s="5">
        <v>797784.29390000505</v>
      </c>
      <c r="C23" s="5">
        <v>28</v>
      </c>
      <c r="D23" s="5">
        <v>28492.296210714467</v>
      </c>
      <c r="F23" s="4" t="s">
        <v>90</v>
      </c>
      <c r="G23" s="1">
        <v>797784.29390000505</v>
      </c>
      <c r="H23" s="1">
        <v>28</v>
      </c>
      <c r="I23" s="1">
        <v>28492.296210714467</v>
      </c>
    </row>
    <row r="24" spans="1:9" x14ac:dyDescent="0.25">
      <c r="A24" s="4" t="s">
        <v>60</v>
      </c>
      <c r="B24" s="5">
        <v>3693469.3401200101</v>
      </c>
      <c r="C24" s="5">
        <v>93</v>
      </c>
      <c r="D24" s="5">
        <v>39714.724087311937</v>
      </c>
      <c r="F24" s="4" t="s">
        <v>60</v>
      </c>
      <c r="G24" s="1">
        <v>3693469.3401200101</v>
      </c>
      <c r="H24" s="1">
        <v>93</v>
      </c>
      <c r="I24" s="1">
        <v>39714.724087311937</v>
      </c>
    </row>
    <row r="25" spans="1:9" x14ac:dyDescent="0.25">
      <c r="A25" s="4" t="s">
        <v>80</v>
      </c>
      <c r="B25" s="5">
        <v>1407088.3310199699</v>
      </c>
      <c r="C25" s="5">
        <v>62</v>
      </c>
      <c r="D25" s="5">
        <v>22694.973080967255</v>
      </c>
      <c r="F25" s="4" t="s">
        <v>80</v>
      </c>
      <c r="G25" s="1">
        <v>1407088.3310199699</v>
      </c>
      <c r="H25" s="1">
        <v>62</v>
      </c>
      <c r="I25" s="1">
        <v>22694.973080967255</v>
      </c>
    </row>
    <row r="26" spans="1:9" x14ac:dyDescent="0.25">
      <c r="A26" s="4" t="s">
        <v>107</v>
      </c>
      <c r="B26" s="5">
        <v>18806050.324255113</v>
      </c>
      <c r="C26" s="5">
        <v>82</v>
      </c>
      <c r="D26" s="5">
        <v>1338272.1989234074</v>
      </c>
      <c r="F26" s="4" t="s">
        <v>107</v>
      </c>
      <c r="G26" s="1">
        <v>18806050.324255113</v>
      </c>
      <c r="H26" s="1">
        <v>82</v>
      </c>
      <c r="I26" s="1">
        <v>1338272.1989234074</v>
      </c>
    </row>
    <row r="27" spans="1:9" x14ac:dyDescent="0.25">
      <c r="A27" s="4" t="s">
        <v>115</v>
      </c>
      <c r="B27" s="5">
        <v>1470184127.8570065</v>
      </c>
      <c r="C27" s="5">
        <v>2268</v>
      </c>
      <c r="D27" s="5">
        <v>40889012.684818111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01C5D8-C416-475B-AE76-77128C5BED95}">
  <dimension ref="A1:D10"/>
  <sheetViews>
    <sheetView workbookViewId="0">
      <selection activeCell="A3" sqref="A3:D5"/>
    </sheetView>
  </sheetViews>
  <sheetFormatPr defaultRowHeight="15" x14ac:dyDescent="0.25"/>
  <cols>
    <col min="1" max="1" width="11.5703125" bestFit="1" customWidth="1"/>
    <col min="2" max="2" width="20.42578125" customWidth="1"/>
    <col min="3" max="3" width="15" customWidth="1"/>
    <col min="4" max="4" width="13.5703125" customWidth="1"/>
  </cols>
  <sheetData>
    <row r="1" spans="1:4" x14ac:dyDescent="0.25">
      <c r="A1" t="s">
        <v>119</v>
      </c>
      <c r="B1" t="s">
        <v>1</v>
      </c>
      <c r="C1" t="s">
        <v>2</v>
      </c>
      <c r="D1" t="s">
        <v>113</v>
      </c>
    </row>
    <row r="2" spans="1:4" x14ac:dyDescent="0.25">
      <c r="A2" s="4" t="s">
        <v>108</v>
      </c>
      <c r="B2" s="1">
        <v>21101966.563547343</v>
      </c>
      <c r="C2" s="1">
        <v>100</v>
      </c>
      <c r="D2" s="1">
        <v>1670904.2231506049</v>
      </c>
    </row>
    <row r="3" spans="1:4" x14ac:dyDescent="0.25">
      <c r="A3" s="4" t="s">
        <v>110</v>
      </c>
      <c r="B3" s="1">
        <v>27197677.809620257</v>
      </c>
      <c r="C3" s="1">
        <v>65</v>
      </c>
      <c r="D3" s="1">
        <v>6620552.105201276</v>
      </c>
    </row>
    <row r="4" spans="1:4" x14ac:dyDescent="0.25">
      <c r="A4" s="4" t="s">
        <v>109</v>
      </c>
      <c r="B4" s="1">
        <v>58849168.38013348</v>
      </c>
      <c r="C4" s="1">
        <v>64</v>
      </c>
      <c r="D4" s="1">
        <v>2967530.2839371357</v>
      </c>
    </row>
    <row r="5" spans="1:4" x14ac:dyDescent="0.25">
      <c r="A5" s="4" t="s">
        <v>104</v>
      </c>
      <c r="B5" s="1">
        <v>38787220.971739687</v>
      </c>
      <c r="C5" s="1">
        <v>29</v>
      </c>
      <c r="D5" s="1">
        <v>4601132.2540858947</v>
      </c>
    </row>
    <row r="6" spans="1:4" x14ac:dyDescent="0.25">
      <c r="A6" s="4" t="s">
        <v>103</v>
      </c>
      <c r="B6" s="1">
        <v>679775645.82575846</v>
      </c>
      <c r="C6" s="1">
        <v>473</v>
      </c>
      <c r="D6" s="1">
        <v>5839941.6948496914</v>
      </c>
    </row>
    <row r="7" spans="1:4" x14ac:dyDescent="0.25">
      <c r="A7" s="4" t="s">
        <v>105</v>
      </c>
      <c r="B7" s="1">
        <v>153322191.65285802</v>
      </c>
      <c r="C7" s="1">
        <v>133</v>
      </c>
      <c r="D7" s="1">
        <v>5556553.3747402476</v>
      </c>
    </row>
    <row r="8" spans="1:4" x14ac:dyDescent="0.25">
      <c r="A8" s="4" t="s">
        <v>112</v>
      </c>
      <c r="B8" s="1">
        <v>111446482.15605359</v>
      </c>
      <c r="C8" s="1">
        <v>261</v>
      </c>
      <c r="D8" s="1">
        <v>2898178.7739401818</v>
      </c>
    </row>
    <row r="9" spans="1:4" x14ac:dyDescent="0.25">
      <c r="A9" s="4" t="s">
        <v>106</v>
      </c>
      <c r="B9" s="1">
        <v>102318642.60578978</v>
      </c>
      <c r="C9" s="1">
        <v>105</v>
      </c>
      <c r="D9" s="1">
        <v>5741255.7277846243</v>
      </c>
    </row>
    <row r="10" spans="1:4" x14ac:dyDescent="0.25">
      <c r="A10" s="4" t="s">
        <v>111</v>
      </c>
      <c r="B10" s="1">
        <v>223109200.36456022</v>
      </c>
      <c r="C10" s="1">
        <v>234</v>
      </c>
      <c r="D10" s="1">
        <v>2447979.8720425386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9CCDB9-BAFD-4E22-AA5E-BBA158BBF090}">
  <dimension ref="A1:F30"/>
  <sheetViews>
    <sheetView tabSelected="1" workbookViewId="0">
      <selection activeCell="B22" sqref="B22"/>
    </sheetView>
  </sheetViews>
  <sheetFormatPr defaultRowHeight="15" x14ac:dyDescent="0.25"/>
  <cols>
    <col min="1" max="1" width="21.5703125" customWidth="1"/>
    <col min="2" max="2" width="19.42578125" customWidth="1"/>
    <col min="3" max="3" width="14.140625" customWidth="1"/>
    <col min="4" max="4" width="19.7109375" customWidth="1"/>
    <col min="5" max="5" width="22.7109375" customWidth="1"/>
    <col min="6" max="6" width="15.7109375" customWidth="1"/>
  </cols>
  <sheetData>
    <row r="1" spans="1:6" x14ac:dyDescent="0.25">
      <c r="A1" t="s">
        <v>0</v>
      </c>
      <c r="B1" t="s">
        <v>102</v>
      </c>
      <c r="C1" t="s">
        <v>1</v>
      </c>
      <c r="D1" t="s">
        <v>2</v>
      </c>
      <c r="E1" t="s">
        <v>113</v>
      </c>
      <c r="F1" t="s">
        <v>3</v>
      </c>
    </row>
    <row r="2" spans="1:6" x14ac:dyDescent="0.25">
      <c r="A2" t="s">
        <v>14</v>
      </c>
      <c r="B2" t="s">
        <v>120</v>
      </c>
      <c r="C2" s="1">
        <v>74153771.441559598</v>
      </c>
      <c r="D2">
        <v>64</v>
      </c>
      <c r="E2" s="1">
        <f>C2/D2</f>
        <v>1158652.6787743687</v>
      </c>
      <c r="F2" t="s">
        <v>5</v>
      </c>
    </row>
    <row r="3" spans="1:6" x14ac:dyDescent="0.25">
      <c r="A3" t="s">
        <v>6</v>
      </c>
      <c r="B3" t="s">
        <v>120</v>
      </c>
      <c r="C3" s="1">
        <v>559556900.06935203</v>
      </c>
      <c r="D3">
        <v>324</v>
      </c>
      <c r="E3" s="1">
        <f t="shared" ref="E3:E30" si="0">C3/D3</f>
        <v>1727027.4693498518</v>
      </c>
      <c r="F3" t="s">
        <v>5</v>
      </c>
    </row>
    <row r="4" spans="1:6" x14ac:dyDescent="0.25">
      <c r="A4" t="s">
        <v>33</v>
      </c>
      <c r="B4" t="s">
        <v>120</v>
      </c>
      <c r="C4" s="1">
        <v>10766020.0152796</v>
      </c>
      <c r="D4">
        <v>44</v>
      </c>
      <c r="E4" s="1">
        <f t="shared" si="0"/>
        <v>244682.27307453638</v>
      </c>
      <c r="F4" t="s">
        <v>5</v>
      </c>
    </row>
    <row r="5" spans="1:6" x14ac:dyDescent="0.25">
      <c r="A5" t="s">
        <v>58</v>
      </c>
      <c r="B5" t="s">
        <v>120</v>
      </c>
      <c r="C5" s="1">
        <v>4006115.94535976</v>
      </c>
      <c r="D5">
        <v>14</v>
      </c>
      <c r="E5" s="1">
        <f t="shared" si="0"/>
        <v>286151.13895426859</v>
      </c>
      <c r="F5" t="s">
        <v>54</v>
      </c>
    </row>
    <row r="6" spans="1:6" x14ac:dyDescent="0.25">
      <c r="A6" t="s">
        <v>25</v>
      </c>
      <c r="B6" t="s">
        <v>120</v>
      </c>
      <c r="C6" s="1">
        <v>42208600.108217999</v>
      </c>
      <c r="D6">
        <v>87</v>
      </c>
      <c r="E6" s="1">
        <f t="shared" si="0"/>
        <v>485156.32308296551</v>
      </c>
      <c r="F6" t="s">
        <v>5</v>
      </c>
    </row>
    <row r="7" spans="1:6" x14ac:dyDescent="0.25">
      <c r="A7" t="s">
        <v>45</v>
      </c>
      <c r="B7" t="s">
        <v>121</v>
      </c>
      <c r="C7" s="1">
        <v>6998395.9723596899</v>
      </c>
      <c r="D7">
        <v>72</v>
      </c>
      <c r="E7" s="1">
        <f t="shared" si="0"/>
        <v>97199.94406055125</v>
      </c>
      <c r="F7" t="s">
        <v>5</v>
      </c>
    </row>
    <row r="8" spans="1:6" x14ac:dyDescent="0.25">
      <c r="A8" t="s">
        <v>15</v>
      </c>
      <c r="B8" t="s">
        <v>121</v>
      </c>
      <c r="C8" s="1">
        <v>70374667.497140199</v>
      </c>
      <c r="D8">
        <v>40</v>
      </c>
      <c r="E8" s="1">
        <f t="shared" si="0"/>
        <v>1759366.6874285049</v>
      </c>
      <c r="F8" t="s">
        <v>5</v>
      </c>
    </row>
    <row r="9" spans="1:6" x14ac:dyDescent="0.25">
      <c r="A9" t="s">
        <v>65</v>
      </c>
      <c r="B9" t="s">
        <v>121</v>
      </c>
      <c r="C9" s="1">
        <v>3062139.22783955</v>
      </c>
      <c r="D9">
        <v>64</v>
      </c>
      <c r="E9" s="1">
        <f t="shared" si="0"/>
        <v>47845.925434992969</v>
      </c>
      <c r="F9" t="s">
        <v>57</v>
      </c>
    </row>
    <row r="10" spans="1:6" x14ac:dyDescent="0.25">
      <c r="A10" t="s">
        <v>68</v>
      </c>
      <c r="B10" t="s">
        <v>121</v>
      </c>
      <c r="C10" s="1">
        <v>2474451.2418599799</v>
      </c>
      <c r="D10">
        <v>92</v>
      </c>
      <c r="E10" s="1">
        <f t="shared" si="0"/>
        <v>26896.209150651957</v>
      </c>
      <c r="F10" t="s">
        <v>57</v>
      </c>
    </row>
    <row r="11" spans="1:6" x14ac:dyDescent="0.25">
      <c r="A11" t="s">
        <v>63</v>
      </c>
      <c r="B11" t="s">
        <v>121</v>
      </c>
      <c r="C11" s="1">
        <v>3274816.4366899701</v>
      </c>
      <c r="D11">
        <v>43</v>
      </c>
      <c r="E11" s="1">
        <f t="shared" si="0"/>
        <v>76158.521783487682</v>
      </c>
      <c r="F11" t="s">
        <v>57</v>
      </c>
    </row>
    <row r="12" spans="1:6" x14ac:dyDescent="0.25">
      <c r="A12" t="s">
        <v>24</v>
      </c>
      <c r="B12" t="s">
        <v>123</v>
      </c>
      <c r="C12" s="1">
        <v>42213476.838086002</v>
      </c>
      <c r="D12">
        <v>170</v>
      </c>
      <c r="E12" s="1">
        <f t="shared" si="0"/>
        <v>248314.5696358</v>
      </c>
      <c r="F12" t="s">
        <v>5</v>
      </c>
    </row>
    <row r="13" spans="1:6" x14ac:dyDescent="0.25">
      <c r="A13" t="s">
        <v>10</v>
      </c>
      <c r="B13" t="s">
        <v>123</v>
      </c>
      <c r="C13" s="1">
        <v>164815671.44890001</v>
      </c>
      <c r="D13">
        <v>324</v>
      </c>
      <c r="E13" s="1">
        <f t="shared" si="0"/>
        <v>508690.34397808649</v>
      </c>
      <c r="F13" t="s">
        <v>5</v>
      </c>
    </row>
    <row r="14" spans="1:6" x14ac:dyDescent="0.25">
      <c r="A14" t="s">
        <v>69</v>
      </c>
      <c r="B14" t="s">
        <v>123</v>
      </c>
      <c r="C14" s="1">
        <v>2393617.7035000101</v>
      </c>
      <c r="D14">
        <v>70</v>
      </c>
      <c r="E14" s="1">
        <f t="shared" si="0"/>
        <v>34194.538621428714</v>
      </c>
      <c r="F14" t="s">
        <v>57</v>
      </c>
    </row>
    <row r="15" spans="1:6" x14ac:dyDescent="0.25">
      <c r="A15" t="s">
        <v>67</v>
      </c>
      <c r="B15" t="s">
        <v>123</v>
      </c>
      <c r="C15" s="1">
        <v>2565693.2846699799</v>
      </c>
      <c r="D15">
        <v>53</v>
      </c>
      <c r="E15" s="1">
        <f t="shared" si="0"/>
        <v>48409.307257924149</v>
      </c>
      <c r="F15" t="s">
        <v>57</v>
      </c>
    </row>
    <row r="16" spans="1:6" x14ac:dyDescent="0.25">
      <c r="A16" t="s">
        <v>7</v>
      </c>
      <c r="B16" t="s">
        <v>124</v>
      </c>
      <c r="C16" s="1">
        <v>321542574.007155</v>
      </c>
      <c r="D16">
        <v>267</v>
      </c>
      <c r="E16" s="1">
        <f t="shared" si="0"/>
        <v>1204279.3033975842</v>
      </c>
      <c r="F16" t="s">
        <v>5</v>
      </c>
    </row>
    <row r="17" spans="1:6" x14ac:dyDescent="0.25">
      <c r="A17" t="s">
        <v>59</v>
      </c>
      <c r="B17" t="s">
        <v>124</v>
      </c>
      <c r="C17" s="1">
        <v>3708236.9144300502</v>
      </c>
      <c r="D17">
        <v>44</v>
      </c>
      <c r="E17" s="1">
        <f t="shared" si="0"/>
        <v>84278.111691592043</v>
      </c>
      <c r="F17" t="s">
        <v>57</v>
      </c>
    </row>
    <row r="18" spans="1:6" x14ac:dyDescent="0.25">
      <c r="A18" t="s">
        <v>19</v>
      </c>
      <c r="B18" t="s">
        <v>124</v>
      </c>
      <c r="C18" s="1">
        <v>52250631.667508401</v>
      </c>
      <c r="D18">
        <v>85</v>
      </c>
      <c r="E18" s="1">
        <f t="shared" si="0"/>
        <v>614713.31373539299</v>
      </c>
      <c r="F18" t="s">
        <v>5</v>
      </c>
    </row>
    <row r="19" spans="1:6" x14ac:dyDescent="0.25">
      <c r="A19" t="s">
        <v>38</v>
      </c>
      <c r="B19" t="s">
        <v>124</v>
      </c>
      <c r="C19" s="1">
        <v>9267440.2304216307</v>
      </c>
      <c r="D19">
        <v>37</v>
      </c>
      <c r="E19" s="1">
        <f t="shared" si="0"/>
        <v>250471.35757896298</v>
      </c>
      <c r="F19" t="s">
        <v>5</v>
      </c>
    </row>
    <row r="20" spans="1:6" x14ac:dyDescent="0.25">
      <c r="A20" t="s">
        <v>20</v>
      </c>
      <c r="B20" t="s">
        <v>124</v>
      </c>
      <c r="C20" s="1">
        <v>51733040.594999999</v>
      </c>
      <c r="D20">
        <v>3</v>
      </c>
      <c r="E20" s="1">
        <f t="shared" si="0"/>
        <v>17244346.864999998</v>
      </c>
      <c r="F20" t="s">
        <v>21</v>
      </c>
    </row>
    <row r="21" spans="1:6" x14ac:dyDescent="0.25">
      <c r="A21" t="s">
        <v>12</v>
      </c>
      <c r="B21" t="s">
        <v>122</v>
      </c>
      <c r="C21" s="1">
        <v>96065824.359539896</v>
      </c>
      <c r="D21">
        <v>68</v>
      </c>
      <c r="E21" s="1">
        <f t="shared" si="0"/>
        <v>1412732.7111697043</v>
      </c>
      <c r="F21" t="s">
        <v>5</v>
      </c>
    </row>
    <row r="22" spans="1:6" x14ac:dyDescent="0.25">
      <c r="A22" t="s">
        <v>16</v>
      </c>
      <c r="B22" t="s">
        <v>122</v>
      </c>
      <c r="C22" s="1">
        <v>59619422.223999999</v>
      </c>
      <c r="D22">
        <v>62</v>
      </c>
      <c r="E22" s="1">
        <f t="shared" si="0"/>
        <v>961603.58425806451</v>
      </c>
      <c r="F22" t="s">
        <v>5</v>
      </c>
    </row>
    <row r="23" spans="1:6" x14ac:dyDescent="0.25">
      <c r="A23" t="s">
        <v>72</v>
      </c>
      <c r="B23" t="s">
        <v>122</v>
      </c>
      <c r="C23" s="1">
        <v>2036456.5012400099</v>
      </c>
      <c r="D23">
        <v>53</v>
      </c>
      <c r="E23" s="1">
        <f t="shared" si="0"/>
        <v>38423.707570566228</v>
      </c>
      <c r="F23" t="s">
        <v>57</v>
      </c>
    </row>
    <row r="24" spans="1:6" x14ac:dyDescent="0.25">
      <c r="A24" t="s">
        <v>77</v>
      </c>
      <c r="B24" t="s">
        <v>122</v>
      </c>
      <c r="C24" s="1">
        <v>1697209.31556</v>
      </c>
      <c r="D24">
        <v>83</v>
      </c>
      <c r="E24" s="1">
        <f t="shared" si="0"/>
        <v>20448.305006746989</v>
      </c>
      <c r="F24" t="s">
        <v>57</v>
      </c>
    </row>
    <row r="25" spans="1:6" x14ac:dyDescent="0.25">
      <c r="A25" t="s">
        <v>35</v>
      </c>
      <c r="B25" t="s">
        <v>122</v>
      </c>
      <c r="C25" s="1">
        <v>10039542.860831499</v>
      </c>
      <c r="D25">
        <v>37</v>
      </c>
      <c r="E25" s="1">
        <f t="shared" si="0"/>
        <v>271338.99623868917</v>
      </c>
      <c r="F25" t="s">
        <v>5</v>
      </c>
    </row>
    <row r="26" spans="1:6" x14ac:dyDescent="0.25">
      <c r="A26" t="s">
        <v>50</v>
      </c>
      <c r="B26" t="s">
        <v>50</v>
      </c>
      <c r="C26" s="1">
        <v>5412930.5856399899</v>
      </c>
      <c r="D26">
        <v>703</v>
      </c>
      <c r="E26" s="1">
        <f t="shared" si="0"/>
        <v>7699.7590122901702</v>
      </c>
      <c r="F26" t="s">
        <v>5</v>
      </c>
    </row>
    <row r="27" spans="1:6" x14ac:dyDescent="0.25">
      <c r="A27" t="s">
        <v>56</v>
      </c>
      <c r="B27" t="s">
        <v>56</v>
      </c>
      <c r="C27" s="1">
        <v>4036306.16777999</v>
      </c>
      <c r="D27">
        <v>1147</v>
      </c>
      <c r="E27" s="1">
        <f t="shared" si="0"/>
        <v>3519.0114801917962</v>
      </c>
      <c r="F27" t="s">
        <v>57</v>
      </c>
    </row>
    <row r="28" spans="1:6" x14ac:dyDescent="0.25">
      <c r="A28" t="s">
        <v>8</v>
      </c>
      <c r="B28" t="s">
        <v>8</v>
      </c>
      <c r="C28" s="1">
        <v>291717479.59785903</v>
      </c>
      <c r="D28">
        <v>1504</v>
      </c>
      <c r="E28" s="1">
        <f t="shared" si="0"/>
        <v>193961.09015815094</v>
      </c>
      <c r="F28" t="s">
        <v>5</v>
      </c>
    </row>
    <row r="29" spans="1:6" x14ac:dyDescent="0.25">
      <c r="A29" t="s">
        <v>13</v>
      </c>
      <c r="B29" t="s">
        <v>13</v>
      </c>
      <c r="C29" s="1">
        <v>77000716.124697596</v>
      </c>
      <c r="D29">
        <v>249</v>
      </c>
      <c r="E29" s="1">
        <f t="shared" si="0"/>
        <v>309239.82379396626</v>
      </c>
      <c r="F29" t="s">
        <v>5</v>
      </c>
    </row>
    <row r="30" spans="1:6" x14ac:dyDescent="0.25">
      <c r="A30" t="s">
        <v>95</v>
      </c>
      <c r="B30" t="s">
        <v>95</v>
      </c>
      <c r="C30" s="1">
        <v>550522.83283999597</v>
      </c>
      <c r="D30">
        <v>65</v>
      </c>
      <c r="E30" s="1">
        <f t="shared" si="0"/>
        <v>8469.5820436922459</v>
      </c>
      <c r="F30" t="s">
        <v>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780EE5-07FD-46B7-AFAC-A5E9F597ED67}">
  <dimension ref="A1:J12"/>
  <sheetViews>
    <sheetView workbookViewId="0">
      <selection activeCell="G1" sqref="G1:J1"/>
    </sheetView>
  </sheetViews>
  <sheetFormatPr defaultRowHeight="15" x14ac:dyDescent="0.25"/>
  <cols>
    <col min="1" max="1" width="13.42578125" bestFit="1" customWidth="1"/>
    <col min="2" max="2" width="17.85546875" bestFit="1" customWidth="1"/>
    <col min="3" max="3" width="19.7109375" bestFit="1" customWidth="1"/>
    <col min="4" max="4" width="19.28515625" bestFit="1" customWidth="1"/>
    <col min="7" max="7" width="20.7109375" customWidth="1"/>
    <col min="8" max="8" width="12.85546875" customWidth="1"/>
    <col min="9" max="9" width="17.85546875" customWidth="1"/>
    <col min="10" max="10" width="26.140625" customWidth="1"/>
  </cols>
  <sheetData>
    <row r="1" spans="1:10" x14ac:dyDescent="0.25">
      <c r="A1" s="3" t="s">
        <v>114</v>
      </c>
      <c r="B1" t="s">
        <v>116</v>
      </c>
      <c r="C1" t="s">
        <v>117</v>
      </c>
      <c r="D1" t="s">
        <v>118</v>
      </c>
      <c r="G1" t="s">
        <v>119</v>
      </c>
      <c r="H1" t="s">
        <v>1</v>
      </c>
      <c r="I1" t="s">
        <v>2</v>
      </c>
      <c r="J1" t="s">
        <v>113</v>
      </c>
    </row>
    <row r="2" spans="1:10" x14ac:dyDescent="0.25">
      <c r="A2" s="4" t="s">
        <v>50</v>
      </c>
      <c r="B2" s="2">
        <v>5412930.5856399899</v>
      </c>
      <c r="C2" s="5">
        <v>703</v>
      </c>
      <c r="D2" s="2">
        <v>7699.7590122901702</v>
      </c>
      <c r="G2" s="4" t="s">
        <v>50</v>
      </c>
      <c r="H2" s="2">
        <v>5412930.5856399899</v>
      </c>
      <c r="I2" s="5">
        <v>703</v>
      </c>
      <c r="J2" s="2">
        <v>7699.7590122901702</v>
      </c>
    </row>
    <row r="3" spans="1:10" x14ac:dyDescent="0.25">
      <c r="A3" s="4" t="s">
        <v>56</v>
      </c>
      <c r="B3" s="2">
        <v>4036306.16777999</v>
      </c>
      <c r="C3" s="5">
        <v>1147</v>
      </c>
      <c r="D3" s="2">
        <v>3519.0114801917962</v>
      </c>
      <c r="G3" s="4" t="s">
        <v>56</v>
      </c>
      <c r="H3" s="2">
        <v>4036306.16777999</v>
      </c>
      <c r="I3" s="5">
        <v>1147</v>
      </c>
      <c r="J3" s="2">
        <v>3519.0114801917962</v>
      </c>
    </row>
    <row r="4" spans="1:10" x14ac:dyDescent="0.25">
      <c r="A4" s="4" t="s">
        <v>8</v>
      </c>
      <c r="B4" s="2">
        <v>291717479.59785903</v>
      </c>
      <c r="C4" s="5">
        <v>1504</v>
      </c>
      <c r="D4" s="2">
        <v>193961.09015815094</v>
      </c>
      <c r="G4" s="4" t="s">
        <v>8</v>
      </c>
      <c r="H4" s="2">
        <v>291717479.59785903</v>
      </c>
      <c r="I4" s="5">
        <v>1504</v>
      </c>
      <c r="J4" s="2">
        <v>193961.09015815094</v>
      </c>
    </row>
    <row r="5" spans="1:10" x14ac:dyDescent="0.25">
      <c r="A5" s="4" t="s">
        <v>121</v>
      </c>
      <c r="B5" s="2">
        <v>86184470.375889391</v>
      </c>
      <c r="C5" s="5">
        <v>311</v>
      </c>
      <c r="D5" s="2">
        <v>2007467.2878581886</v>
      </c>
      <c r="G5" s="4" t="s">
        <v>121</v>
      </c>
      <c r="H5" s="2">
        <v>86184470.375889391</v>
      </c>
      <c r="I5" s="5">
        <v>311</v>
      </c>
      <c r="J5" s="2">
        <v>2007467.2878581886</v>
      </c>
    </row>
    <row r="6" spans="1:10" x14ac:dyDescent="0.25">
      <c r="A6" s="4" t="s">
        <v>120</v>
      </c>
      <c r="B6" s="2">
        <v>690691407.5797689</v>
      </c>
      <c r="C6" s="5">
        <v>533</v>
      </c>
      <c r="D6" s="2">
        <v>3901669.8832359915</v>
      </c>
      <c r="G6" s="4" t="s">
        <v>120</v>
      </c>
      <c r="H6" s="2">
        <v>690691407.5797689</v>
      </c>
      <c r="I6" s="5">
        <v>533</v>
      </c>
      <c r="J6" s="2">
        <v>3901669.8832359915</v>
      </c>
    </row>
    <row r="7" spans="1:10" x14ac:dyDescent="0.25">
      <c r="A7" s="4" t="s">
        <v>123</v>
      </c>
      <c r="B7" s="2">
        <v>211988459.27515599</v>
      </c>
      <c r="C7" s="5">
        <v>617</v>
      </c>
      <c r="D7" s="2">
        <v>839608.75949323934</v>
      </c>
      <c r="G7" s="4" t="s">
        <v>123</v>
      </c>
      <c r="H7" s="2">
        <v>211988459.27515599</v>
      </c>
      <c r="I7" s="5">
        <v>617</v>
      </c>
      <c r="J7" s="2">
        <v>839608.75949323934</v>
      </c>
    </row>
    <row r="8" spans="1:10" x14ac:dyDescent="0.25">
      <c r="A8" s="4" t="s">
        <v>13</v>
      </c>
      <c r="B8" s="2">
        <v>77000716.124697596</v>
      </c>
      <c r="C8" s="5">
        <v>249</v>
      </c>
      <c r="D8" s="2">
        <v>309239.82379396626</v>
      </c>
      <c r="G8" s="4" t="s">
        <v>13</v>
      </c>
      <c r="H8" s="2">
        <v>77000716.124697596</v>
      </c>
      <c r="I8" s="5">
        <v>249</v>
      </c>
      <c r="J8" s="2">
        <v>309239.82379396626</v>
      </c>
    </row>
    <row r="9" spans="1:10" x14ac:dyDescent="0.25">
      <c r="A9" s="4" t="s">
        <v>95</v>
      </c>
      <c r="B9" s="2">
        <v>550522.83283999597</v>
      </c>
      <c r="C9" s="5">
        <v>65</v>
      </c>
      <c r="D9" s="2">
        <v>8469.5820436922459</v>
      </c>
      <c r="G9" s="4" t="s">
        <v>95</v>
      </c>
      <c r="H9" s="2">
        <v>550522.83283999597</v>
      </c>
      <c r="I9" s="5">
        <v>65</v>
      </c>
      <c r="J9" s="2">
        <v>8469.5820436922459</v>
      </c>
    </row>
    <row r="10" spans="1:10" x14ac:dyDescent="0.25">
      <c r="A10" s="4" t="s">
        <v>124</v>
      </c>
      <c r="B10" s="2">
        <v>438501923.41451502</v>
      </c>
      <c r="C10" s="5">
        <v>436</v>
      </c>
      <c r="D10" s="2">
        <v>19398088.951403532</v>
      </c>
      <c r="G10" s="4" t="s">
        <v>124</v>
      </c>
      <c r="H10" s="2">
        <v>438501923.41451502</v>
      </c>
      <c r="I10" s="5">
        <v>436</v>
      </c>
      <c r="J10" s="2">
        <v>19398088.951403532</v>
      </c>
    </row>
    <row r="11" spans="1:10" x14ac:dyDescent="0.25">
      <c r="A11" s="4" t="s">
        <v>122</v>
      </c>
      <c r="B11" s="2">
        <v>169458455.26117143</v>
      </c>
      <c r="C11" s="5">
        <v>303</v>
      </c>
      <c r="D11" s="2">
        <v>2704547.3042437714</v>
      </c>
      <c r="G11" s="4" t="s">
        <v>122</v>
      </c>
      <c r="H11" s="2">
        <v>169458455.26117143</v>
      </c>
      <c r="I11" s="5">
        <v>303</v>
      </c>
      <c r="J11" s="2">
        <v>2704547.3042437714</v>
      </c>
    </row>
    <row r="12" spans="1:10" x14ac:dyDescent="0.25">
      <c r="A12" s="4" t="s">
        <v>115</v>
      </c>
      <c r="B12" s="2">
        <v>1975542671.2153172</v>
      </c>
      <c r="C12" s="5">
        <v>5868</v>
      </c>
      <c r="D12" s="2">
        <v>29374271.452723019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E4344-0B1A-4602-B3F3-6BB4554B0A26}">
  <dimension ref="A1:D6"/>
  <sheetViews>
    <sheetView workbookViewId="0">
      <selection activeCell="A4" sqref="A4:B4"/>
    </sheetView>
  </sheetViews>
  <sheetFormatPr defaultRowHeight="15" x14ac:dyDescent="0.25"/>
  <cols>
    <col min="1" max="1" width="20.85546875" customWidth="1"/>
  </cols>
  <sheetData>
    <row r="1" spans="1:4" x14ac:dyDescent="0.25">
      <c r="A1" t="s">
        <v>119</v>
      </c>
      <c r="B1" t="s">
        <v>1</v>
      </c>
      <c r="C1" t="s">
        <v>2</v>
      </c>
      <c r="D1" t="s">
        <v>113</v>
      </c>
    </row>
    <row r="2" spans="1:4" x14ac:dyDescent="0.25">
      <c r="A2" t="s">
        <v>121</v>
      </c>
      <c r="B2">
        <v>86184470.375889391</v>
      </c>
      <c r="C2">
        <v>311</v>
      </c>
      <c r="D2">
        <v>2007467.2878581886</v>
      </c>
    </row>
    <row r="3" spans="1:4" x14ac:dyDescent="0.25">
      <c r="A3" t="s">
        <v>120</v>
      </c>
      <c r="B3">
        <v>690691407.5797689</v>
      </c>
      <c r="C3">
        <v>533</v>
      </c>
      <c r="D3">
        <v>3901669.8832359915</v>
      </c>
    </row>
    <row r="4" spans="1:4" x14ac:dyDescent="0.25">
      <c r="A4" t="s">
        <v>123</v>
      </c>
      <c r="B4">
        <v>211988459.27515599</v>
      </c>
      <c r="C4">
        <v>617</v>
      </c>
      <c r="D4">
        <v>839608.75949323934</v>
      </c>
    </row>
    <row r="5" spans="1:4" x14ac:dyDescent="0.25">
      <c r="A5" t="s">
        <v>124</v>
      </c>
      <c r="B5">
        <v>438501923.41451502</v>
      </c>
      <c r="C5">
        <v>436</v>
      </c>
      <c r="D5">
        <v>19398088.951403532</v>
      </c>
    </row>
    <row r="6" spans="1:4" x14ac:dyDescent="0.25">
      <c r="A6" t="s">
        <v>122</v>
      </c>
      <c r="B6">
        <v>169458455.26117143</v>
      </c>
      <c r="C6">
        <v>303</v>
      </c>
      <c r="D6">
        <v>2704547.3042437714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remitter</vt:lpstr>
      <vt:lpstr>rem_pivot</vt:lpstr>
      <vt:lpstr>rem_plot</vt:lpstr>
      <vt:lpstr>beneficiary</vt:lpstr>
      <vt:lpstr>ben_pivot</vt:lpstr>
      <vt:lpstr>ben_plot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 MH</cp:lastModifiedBy>
  <dcterms:created xsi:type="dcterms:W3CDTF">2025-09-27T15:21:24Z</dcterms:created>
  <dcterms:modified xsi:type="dcterms:W3CDTF">2025-09-28T18:12:34Z</dcterms:modified>
</cp:coreProperties>
</file>